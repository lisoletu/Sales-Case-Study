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slicers/slicer3.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https://d.docs.live.net/d0e5046bc54ad23f/Documents/Bright Learn Data Analytics/Projects/FNB sales/"/>
    </mc:Choice>
  </mc:AlternateContent>
  <xr:revisionPtr revIDLastSave="10" documentId="11_7357030874113864586002C7C0C654899833B137" xr6:coauthVersionLast="47" xr6:coauthVersionMax="47" xr10:uidLastSave="{C6552DAC-404B-4506-A09E-3D5286CA0645}"/>
  <bookViews>
    <workbookView xWindow="-28920" yWindow="-120" windowWidth="29040" windowHeight="15720" activeTab="3" xr2:uid="{00000000-000D-0000-FFFF-FFFF00000000}"/>
  </bookViews>
  <sheets>
    <sheet name="Clean Dataset" sheetId="1" r:id="rId1"/>
    <sheet name="PivotTables &amp; Charts" sheetId="2" r:id="rId2"/>
    <sheet name="Sales Performance" sheetId="3" r:id="rId3"/>
    <sheet name="Profitablity &amp; Promotions" sheetId="4" r:id="rId4"/>
  </sheets>
  <definedNames>
    <definedName name="Slicer_day_of_week">#N/A</definedName>
    <definedName name="Slicer_month">#N/A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215" i="2" l="1" a="1"/>
  <c r="E215" i="2" s="1"/>
  <c r="P4"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<sst xmlns="http://schemas.openxmlformats.org/spreadsheetml/2006/main" count="2335" uniqueCount="71">
  <si>
    <t>sales_date</t>
  </si>
  <si>
    <t>sales</t>
  </si>
  <si>
    <t>cost_of_sales</t>
  </si>
  <si>
    <t>quantity_sold</t>
  </si>
  <si>
    <t>year</t>
  </si>
  <si>
    <t>month_number</t>
  </si>
  <si>
    <t>month</t>
  </si>
  <si>
    <t>quarter</t>
  </si>
  <si>
    <t>day</t>
  </si>
  <si>
    <t>day_of_week</t>
  </si>
  <si>
    <t>sales_price_per_unit</t>
  </si>
  <si>
    <t>gross_profit</t>
  </si>
  <si>
    <t>gross_profit_per_unit</t>
  </si>
  <si>
    <t>gross_profit_percentage</t>
  </si>
  <si>
    <t>gross_profit_percentage_per_unit</t>
  </si>
  <si>
    <t>December</t>
  </si>
  <si>
    <t>Mon</t>
  </si>
  <si>
    <t>Tue</t>
  </si>
  <si>
    <t>January</t>
  </si>
  <si>
    <t>Wed</t>
  </si>
  <si>
    <t>Thu</t>
  </si>
  <si>
    <t>Fri</t>
  </si>
  <si>
    <t>Sat</t>
  </si>
  <si>
    <t>Sun</t>
  </si>
  <si>
    <t>February</t>
  </si>
  <si>
    <t>March</t>
  </si>
  <si>
    <t>April</t>
  </si>
  <si>
    <t>May</t>
  </si>
  <si>
    <t>June</t>
  </si>
  <si>
    <t>July</t>
  </si>
  <si>
    <t>August</t>
  </si>
  <si>
    <t>September</t>
  </si>
  <si>
    <t>October</t>
  </si>
  <si>
    <t>November</t>
  </si>
  <si>
    <t>KPIs</t>
  </si>
  <si>
    <t>Sum of sales</t>
  </si>
  <si>
    <t>Total Sales</t>
  </si>
  <si>
    <t>Total Quantity Sold</t>
  </si>
  <si>
    <t>Sum of quantity_sold</t>
  </si>
  <si>
    <t>Avg Unit Sales Price</t>
  </si>
  <si>
    <t>Average of sales_price_per_unit</t>
  </si>
  <si>
    <t>Highest Sales Day</t>
  </si>
  <si>
    <t>Max of sales</t>
  </si>
  <si>
    <t>Row Labels</t>
  </si>
  <si>
    <t>Grand Total</t>
  </si>
  <si>
    <t>Sum of gross_profit</t>
  </si>
  <si>
    <t>Total Gross Profit</t>
  </si>
  <si>
    <t>Sum of gross_profit_percentage</t>
  </si>
  <si>
    <t>Overall Gross Profit %</t>
  </si>
  <si>
    <t>Average of gross_profit_percentage_per_unit</t>
  </si>
  <si>
    <t>Promotion Period</t>
  </si>
  <si>
    <t>Baseline Avg Daily Sales</t>
  </si>
  <si>
    <t>Promotion Avg Daily Sales</t>
  </si>
  <si>
    <t>Sales Increase</t>
  </si>
  <si>
    <t>R171,274.64</t>
  </si>
  <si>
    <t>R294,374.30</t>
  </si>
  <si>
    <t>71.87%</t>
  </si>
  <si>
    <t>R302,620.02</t>
  </si>
  <si>
    <t>R407,479.64</t>
  </si>
  <si>
    <t>34.63%</t>
  </si>
  <si>
    <t>R107,529.37</t>
  </si>
  <si>
    <t>R220,422.02</t>
  </si>
  <si>
    <t>105.00%</t>
  </si>
  <si>
    <t>Highest Promotion Sales Increase</t>
  </si>
  <si>
    <t>Page 2 Charts</t>
  </si>
  <si>
    <t>Page 1 Charts</t>
  </si>
  <si>
    <t>Promotion</t>
  </si>
  <si>
    <t>Baseline</t>
  </si>
  <si>
    <t>February 2014</t>
  </si>
  <si>
    <t>August 2014</t>
  </si>
  <si>
    <t>June 2015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</si>
</sst>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numFmt numFmtId="165" formatCode="_-[$R-1C09]* #,##0.00_-;\-[$R-1C09]* #,##0.00_-;_-[$R-1C09]* &quot;-&quot;??_-;_-@_-"/>
  </numFmts>
  <fonts count="4" x14ac:knownFonts="1">
    <font>
      <sz val="12"/>
      <color theme="1"/>
      <name val="Calibri"/>
      <family val="2"/>
      <scheme val="minor"/>
    </font>
    <font>
      <sz val="12"/>
      <color theme="1"/>
      <name val="Calibri"/>
      <family val="2"/>
      <scheme val="minor"/>
    </font>
    <font>
      <sz val="12"/>
      <color rgb="FFFF0000"/>
      <name val="Calibri"/>
      <family val="2"/>
      <scheme val="minor"/>
    </font>
    <font>
      <b/>
      <sz val="12"/>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7">
    <xf numFmtId="0" fontId="0" fillId="0" borderId="0" xfId="0" applyNumberFormat="1"/>
    <xf numFmtId="164" fontId="0" fillId="0" borderId="0" xfId="0" applyNumberFormat="1"/>
    <xf numFmtId="0" fontId="2" fillId="0" borderId="0" xfId="0" applyNumberFormat="1" applyFont="1"/>
    <xf numFmtId="0" fontId="0" fillId="0" borderId="0" xfId="0" pivotButton="1" applyNumberFormat="1"/>
    <xf numFmtId="0" fontId="0" fillId="0" borderId="0" xfId="0" applyNumberFormat="1" applyAlignment="1">
      <alignment horizontal="left"/>
    </xf>
    <xf numFmtId="0" fontId="0" fillId="0" borderId="0" xfId="0" applyNumberFormat="1" applyAlignment="1">
      <alignment horizontal="left" indent="1"/>
    </xf>
    <xf numFmtId="164" fontId="0" fillId="0" borderId="0" xfId="0" applyNumberFormat="1" applyAlignment="1">
      <alignment horizontal="left"/>
    </xf>
    <xf numFmtId="165" fontId="0" fillId="0" borderId="0" xfId="0" applyNumberFormat="1"/>
    <xf numFmtId="10" fontId="0" fillId="0" borderId="0" xfId="1" applyNumberFormat="1" applyFont="1"/>
    <xf numFmtId="0" fontId="3" fillId="0" borderId="0" xfId="0" applyNumberFormat="1" applyFont="1" applyAlignment="1">
      <alignment horizontal="center" vertical="center" wrapText="1"/>
    </xf>
    <xf numFmtId="0" fontId="0" fillId="0" borderId="0" xfId="0" applyNumberFormat="1" applyAlignment="1">
      <alignment horizontal="right" vertical="center" wrapText="1"/>
    </xf>
    <xf numFmtId="0" fontId="3" fillId="0" borderId="0" xfId="0" applyNumberFormat="1" applyFont="1" applyAlignment="1">
      <alignment horizontal="right" vertical="center" wrapText="1"/>
    </xf>
    <xf numFmtId="17" fontId="0" fillId="0" borderId="0" xfId="0" applyNumberFormat="1"/>
    <xf numFmtId="17" fontId="0" fillId="0" borderId="0" xfId="0" applyNumberFormat="1" applyAlignment="1">
      <alignment vertical="center" wrapText="1"/>
    </xf>
    <xf numFmtId="0" fontId="3" fillId="2" borderId="0" xfId="0" applyNumberFormat="1" applyFont="1" applyFill="1" applyAlignment="1">
      <alignment horizontal="right" vertical="center" wrapText="1"/>
    </xf>
    <xf numFmtId="16" fontId="0" fillId="0" borderId="0" xfId="0" applyNumberFormat="1"/>
    <xf numFmtId="49" fontId="0" fillId="0" borderId="0" xfId="0" applyNumberFormat="1" applyAlignment="1">
      <alignment vertical="center" wrapText="1"/>
    </xf>
  </cellXfs>
  <cellStyles count="2">
    <cellStyle name="Normal" xfId="0" builtinId="0"/>
    <cellStyle name="Percent" xfId="1" builtinId="5"/>
  </cellStyles>
  <dxfs count="25">
    <dxf>
      <numFmt numFmtId="165" formatCode="_-[$R-1C09]* #,##0.00_-;\-[$R-1C09]* #,##0.00_-;_-[$R-1C09]* &quot;-&quot;??_-;_-@_-"/>
    </dxf>
    <dxf>
      <numFmt numFmtId="165" formatCode="_-[$R-1C09]* #,##0.00_-;\-[$R-1C09]* #,##0.00_-;_-[$R-1C09]* &quot;-&quot;??_-;_-@_-"/>
    </dxf>
    <dxf>
      <numFmt numFmtId="165" formatCode="_-[$R-1C09]* #,##0.00_-;\-[$R-1C09]* #,##0.00_-;_-[$R-1C09]* &quot;-&quot;??_-;_-@_-"/>
    </dxf>
    <dxf>
      <numFmt numFmtId="165" formatCode="_-[$R-1C09]* #,##0.00_-;\-[$R-1C09]* #,##0.00_-;_-[$R-1C09]* &quot;-&quot;??_-;_-@_-"/>
    </dxf>
    <dxf>
      <numFmt numFmtId="165" formatCode="_-[$R-1C09]* #,##0.00_-;\-[$R-1C09]* #,##0.00_-;_-[$R-1C09]* &quot;-&quot;??_-;_-@_-"/>
    </dxf>
    <dxf>
      <numFmt numFmtId="165" formatCode="_-[$R-1C09]* #,##0.00_-;\-[$R-1C09]* #,##0.00_-;_-[$R-1C09]* &quot;-&quot;??_-;_-@_-"/>
    </dxf>
    <dxf>
      <numFmt numFmtId="165" formatCode="_-[$R-1C09]* #,##0.00_-;\-[$R-1C09]* #,##0.00_-;_-[$R-1C09]* &quot;-&quot;??_-;_-@_-"/>
    </dxf>
    <dxf>
      <numFmt numFmtId="165" formatCode="_-[$R-1C09]* #,##0.00_-;\-[$R-1C09]* #,##0.00_-;_-[$R-1C09]* &quot;-&quot;??_-;_-@_-"/>
    </dxf>
    <dxf>
      <numFmt numFmtId="165" formatCode="_-[$R-1C09]* #,##0.00_-;\-[$R-1C09]* #,##0.00_-;_-[$R-1C09]* &quot;-&quot;??_-;_-@_-"/>
    </dxf>
    <dxf>
      <numFmt numFmtId="165" formatCode="_-[$R-1C09]* #,##0.00_-;\-[$R-1C09]* #,##0.00_-;_-[$R-1C09]* &quot;-&quot;??_-;_-@_-"/>
    </dxf>
    <dxf>
      <numFmt numFmtId="165" formatCode="_-[$R-1C09]* #,##0.00_-;\-[$R-1C09]* #,##0.00_-;_-[$R-1C09]* &quot;-&quot;??_-;_-@_-"/>
    </dxf>
    <dxf>
      <numFmt numFmtId="165" formatCode="_-[$R-1C09]* #,##0.00_-;\-[$R-1C09]* #,##0.00_-;_-[$R-1C09]* &quot;-&quot;??_-;_-@_-"/>
    </dxf>
    <dxf>
      <numFmt numFmtId="165" formatCode="_-[$R-1C09]* #,##0.00_-;\-[$R-1C09]* #,##0.00_-;_-[$R-1C09]* &quot;-&quot;??_-;_-@_-"/>
    </dxf>
    <dxf>
      <numFmt numFmtId="165" formatCode="_-[$R-1C09]* #,##0.00_-;\-[$R-1C09]* #,##0.00_-;_-[$R-1C09]* &quot;-&quot;??_-;_-@_-"/>
    </dxf>
    <dxf>
      <numFmt numFmtId="165" formatCode="_-[$R-1C09]* #,##0.00_-;\-[$R-1C09]* #,##0.00_-;_-[$R-1C09]* &quot;-&quot;??_-;_-@_-"/>
    </dxf>
    <dxf>
      <numFmt numFmtId="165" formatCode="_-[$R-1C09]* #,##0.00_-;\-[$R-1C09]* #,##0.00_-;_-[$R-1C09]* &quot;-&quot;??_-;_-@_-"/>
    </dxf>
    <dxf>
      <numFmt numFmtId="165" formatCode="_-[$R-1C09]* #,##0.00_-;\-[$R-1C09]* #,##0.00_-;_-[$R-1C09]* &quot;-&quot;??_-;_-@_-"/>
    </dxf>
    <dxf>
      <numFmt numFmtId="165" formatCode="_-[$R-1C09]* #,##0.00_-;\-[$R-1C09]* #,##0.00_-;_-[$R-1C09]* &quot;-&quot;??_-;_-@_-"/>
    </dxf>
    <dxf>
      <numFmt numFmtId="165" formatCode="_-[$R-1C09]* #,##0.00_-;\-[$R-1C09]* #,##0.00_-;_-[$R-1C09]* &quot;-&quot;??_-;_-@_-"/>
    </dxf>
    <dxf>
      <numFmt numFmtId="165" formatCode="_-[$R-1C09]* #,##0.00_-;\-[$R-1C09]* #,##0.00_-;_-[$R-1C09]* &quot;-&quot;??_-;_-@_-"/>
    </dxf>
    <dxf>
      <numFmt numFmtId="165" formatCode="_-[$R-1C09]* #,##0.00_-;\-[$R-1C09]* #,##0.00_-;_-[$R-1C09]* &quot;-&quot;??_-;_-@_-"/>
    </dxf>
    <dxf>
      <numFmt numFmtId="164" formatCode="yyyy\-mm\-dd"/>
    </dxf>
    <dxf>
      <font>
        <b/>
        <i val="0"/>
        <color theme="0"/>
      </font>
      <border>
        <bottom style="thin">
          <color theme="4"/>
        </bottom>
        <vertical/>
        <horizontal/>
      </border>
    </dxf>
    <dxf>
      <font>
        <color theme="1"/>
      </font>
      <fill>
        <patternFill>
          <bgColor theme="4" tint="-0.24994659260841701"/>
        </patternFill>
      </fill>
      <border diagonalUp="0" diagonalDown="0">
        <left/>
        <right/>
        <top/>
        <bottom/>
        <vertical/>
        <horizontal/>
      </border>
    </dxf>
    <dxf>
      <font>
        <color theme="0"/>
      </font>
      <fill>
        <patternFill>
          <bgColor theme="4" tint="-0.24994659260841701"/>
        </patternFill>
      </fill>
      <border diagonalUp="0" diagonalDown="0">
        <left/>
        <right/>
        <top/>
        <bottom/>
        <vertical/>
        <horizontal/>
      </border>
    </dxf>
  </dxfs>
  <tableStyles count="3" defaultTableStyle="TableStyleMedium9" defaultPivotStyle="PivotStyleMedium4">
    <tableStyle name="Slicer Style 1" pivot="0" table="0" count="1" xr9:uid="{91EC9F8F-216F-44DB-96A3-D4CDE6681DF4}">
      <tableStyleElement type="wholeTable" dxfId="24"/>
    </tableStyle>
    <tableStyle name="Slicer Style 2" pivot="0" table="0" count="0" xr9:uid="{17E05D4B-D0E1-49E8-B9D3-CBA41E7F80DA}"/>
    <tableStyle name="SlicerStyleDark1 2" pivot="0" table="0" count="10" xr9:uid="{08F39D48-B642-4650-A29D-F83BE33CBA23}">
      <tableStyleElement type="wholeTable" dxfId="23"/>
      <tableStyleElement type="headerRow" dxfId="22"/>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 Style 1"/>
        <x14:slicerStyle name="Slicer Style 2"/>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[Sales_Final_Code__excel file.xlsx]PivotTables &amp; Charts!PivotTable5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Monthly</a:t>
            </a:r>
            <a:r>
              <a:rPr lang="en-US" baseline="0"/>
              <a:t> Sales Over the Years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 &amp; Charts'!$B$7</c:f>
              <c:strCache>
                <c:ptCount val="1"/>
                <c:pt idx="0">
                  <c:v>Total</c:v>
                </c:pt>
              </c:strCache>
            </c:strRef>
          </c:tx>
          <c:spPr>
            <a:ln w="28575" cap="rnd">
              <a:solidFill>
                <a:schemeClr val="accent1"/>
              </a:solidFill>
              <a:round/>
            </a:ln>
            <a:effectLst/>
          </c:spPr>
          <c:marker>
            <c:symbol val="none"/>
          </c:marker>
          <c:cat>
            <c:multiLvlStrRef>
              <c:f>'PivotTables &amp; Charts'!$A$8:$A$48</c:f>
              <c:multiLvlStrCache>
                <c:ptCount val="36"/>
                <c:lvl>
                  <c:pt idx="0">
                    <c:v>December</c:v>
                  </c:pt>
                  <c:pt idx="1">
                    <c:v>January</c:v>
                  </c:pt>
                  <c:pt idx="2">
                    <c:v>February</c:v>
                  </c:pt>
                  <c:pt idx="3">
                    <c:v>March</c:v>
                  </c:pt>
                  <c:pt idx="4">
                    <c:v>April</c:v>
                  </c:pt>
                  <c:pt idx="5">
                    <c:v>May</c:v>
                  </c:pt>
                  <c:pt idx="6">
                    <c:v>June</c:v>
                  </c:pt>
                  <c:pt idx="7">
                    <c:v>July</c:v>
                  </c:pt>
                  <c:pt idx="8">
                    <c:v>August</c:v>
                  </c:pt>
                  <c:pt idx="9">
                    <c:v>September</c:v>
                  </c:pt>
                  <c:pt idx="10">
                    <c:v>October</c:v>
                  </c:pt>
                  <c:pt idx="11">
                    <c:v>November</c:v>
                  </c:pt>
                  <c:pt idx="12">
                    <c:v>December</c:v>
                  </c:pt>
                  <c:pt idx="13">
                    <c:v>January</c:v>
                  </c:pt>
                  <c:pt idx="14">
                    <c:v>February</c:v>
                  </c:pt>
                  <c:pt idx="15">
                    <c:v>March</c:v>
                  </c:pt>
                  <c:pt idx="16">
                    <c:v>April</c:v>
                  </c:pt>
                  <c:pt idx="17">
                    <c:v>May</c:v>
                  </c:pt>
                  <c:pt idx="18">
                    <c:v>June</c:v>
                  </c:pt>
                  <c:pt idx="19">
                    <c:v>July</c:v>
                  </c:pt>
                  <c:pt idx="20">
                    <c:v>August</c:v>
                  </c:pt>
                  <c:pt idx="21">
                    <c:v>September</c:v>
                  </c:pt>
                  <c:pt idx="22">
                    <c:v>October</c:v>
                  </c:pt>
                  <c:pt idx="23">
                    <c:v>November</c:v>
                  </c:pt>
                  <c:pt idx="24">
                    <c:v>December</c:v>
                  </c:pt>
                  <c:pt idx="25">
                    <c:v>January</c:v>
                  </c:pt>
                  <c:pt idx="26">
                    <c:v>February</c:v>
                  </c:pt>
                  <c:pt idx="27">
                    <c:v>March</c:v>
                  </c:pt>
                  <c:pt idx="28">
                    <c:v>April</c:v>
                  </c:pt>
                  <c:pt idx="29">
                    <c:v>May</c:v>
                  </c:pt>
                  <c:pt idx="30">
                    <c:v>June</c:v>
                  </c:pt>
                  <c:pt idx="31">
                    <c:v>July</c:v>
                  </c:pt>
                  <c:pt idx="32">
                    <c:v>August</c:v>
                  </c:pt>
                  <c:pt idx="33">
                    <c:v>September</c:v>
                  </c:pt>
                  <c:pt idx="34">
                    <c:v>October</c:v>
                  </c:pt>
                  <c:pt idx="35">
                    <c:v>November</c:v>
                  </c:pt>
                </c:lvl>
                <c:lvl>
                  <c:pt idx="0">
                    <c:v>2013</c:v>
                  </c:pt>
                  <c:pt idx="1">
                    <c:v>2014</c:v>
                  </c:pt>
                  <c:pt idx="13">
                    <c:v>2015</c:v>
                  </c:pt>
                  <c:pt idx="25">
                    <c:v>2016</c:v>
                  </c:pt>
                </c:lvl>
              </c:multiLvlStrCache>
            </c:multiLvlStrRef>
          </c:cat>
          <c:val>
            <c:numRef>
              <c:f>'PivotTables &amp; Charts'!$B$8:$B$48</c:f>
              <c:numCache>
                <c:formatCode>General</c:formatCode>
                <c:ptCount val="36"/>
                <c:pt idx="0">
                  <c:v>524283</c:v>
                </c:pt>
                <c:pt idx="1">
                  <c:v>4008177</c:v>
                </c:pt>
                <c:pt idx="2">
                  <c:v>5780490</c:v>
                </c:pt>
                <c:pt idx="3">
                  <c:v>8279517</c:v>
                </c:pt>
                <c:pt idx="4">
                  <c:v>6435744</c:v>
                </c:pt>
                <c:pt idx="5">
                  <c:v>7694907</c:v>
                </c:pt>
                <c:pt idx="6">
                  <c:v>6456946</c:v>
                </c:pt>
                <c:pt idx="7">
                  <c:v>4933711</c:v>
                </c:pt>
                <c:pt idx="8">
                  <c:v>10010378</c:v>
                </c:pt>
                <c:pt idx="9">
                  <c:v>7643452</c:v>
                </c:pt>
                <c:pt idx="10">
                  <c:v>5924685</c:v>
                </c:pt>
                <c:pt idx="11">
                  <c:v>2631353</c:v>
                </c:pt>
                <c:pt idx="12">
                  <c:v>5615619</c:v>
                </c:pt>
                <c:pt idx="13">
                  <c:v>3696189</c:v>
                </c:pt>
                <c:pt idx="14">
                  <c:v>4901504</c:v>
                </c:pt>
                <c:pt idx="15">
                  <c:v>5269354</c:v>
                </c:pt>
                <c:pt idx="16">
                  <c:v>5963992</c:v>
                </c:pt>
                <c:pt idx="17">
                  <c:v>8384366</c:v>
                </c:pt>
                <c:pt idx="18">
                  <c:v>5332109</c:v>
                </c:pt>
                <c:pt idx="19">
                  <c:v>3677694</c:v>
                </c:pt>
                <c:pt idx="20">
                  <c:v>3934668</c:v>
                </c:pt>
                <c:pt idx="21">
                  <c:v>4669902</c:v>
                </c:pt>
                <c:pt idx="22">
                  <c:v>4828973</c:v>
                </c:pt>
                <c:pt idx="23">
                  <c:v>6538150</c:v>
                </c:pt>
                <c:pt idx="24">
                  <c:v>6820690</c:v>
                </c:pt>
                <c:pt idx="25">
                  <c:v>5403089</c:v>
                </c:pt>
                <c:pt idx="26">
                  <c:v>4891882</c:v>
                </c:pt>
                <c:pt idx="27">
                  <c:v>2951856</c:v>
                </c:pt>
                <c:pt idx="28">
                  <c:v>6656879</c:v>
                </c:pt>
                <c:pt idx="29">
                  <c:v>5170232</c:v>
                </c:pt>
                <c:pt idx="30">
                  <c:v>6771135</c:v>
                </c:pt>
                <c:pt idx="31">
                  <c:v>3324827</c:v>
                </c:pt>
                <c:pt idx="32">
                  <c:v>4343329</c:v>
                </c:pt>
                <c:pt idx="33">
                  <c:v>3259542</c:v>
                </c:pt>
                <c:pt idx="34">
                  <c:v>2329171</c:v>
                </c:pt>
                <c:pt idx="35">
                  <c:v>1851029</c:v>
                </c:pt>
              </c:numCache>
            </c:numRef>
          </c:val>
          <c:smooth val="0"/>
          <c:extLst>
            <c:ext xmlns:c16="http://schemas.microsoft.com/office/drawing/2014/chart" uri="{C3380CC4-5D6E-409C-BE32-E72D297353CC}">
              <c16:uniqueId val="{00000000-2687-47DA-8DB9-62D28C95DFFD}"/>
            </c:ext>
          </c:extLst>
        </c:ser>
        <c:dLbls>
          <c:showLegendKey val="0"/>
          <c:showVal val="0"/>
          <c:showCatName val="0"/>
          <c:showSerName val="0"/>
          <c:showPercent val="0"/>
          <c:showBubbleSize val="0"/>
        </c:dLbls>
        <c:smooth val="0"/>
        <c:axId val="300316528"/>
        <c:axId val="300317360"/>
      </c:lineChart>
      <c:catAx>
        <c:axId val="300316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317360"/>
        <c:crosses val="autoZero"/>
        <c:auto val="1"/>
        <c:lblAlgn val="ctr"/>
        <c:lblOffset val="100"/>
        <c:noMultiLvlLbl val="0"/>
      </c:catAx>
      <c:valAx>
        <c:axId val="300317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3165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[Sales_Final_Code__excel file.xlsx]PivotTables &amp; Charts!PivotTable7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Day of Week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 &amp; Charts'!$B$51</c:f>
              <c:strCache>
                <c:ptCount val="1"/>
                <c:pt idx="0">
                  <c:v>Total</c:v>
                </c:pt>
              </c:strCache>
            </c:strRef>
          </c:tx>
          <c:spPr>
            <a:solidFill>
              <a:schemeClr val="accent1"/>
            </a:solidFill>
            <a:ln>
              <a:noFill/>
            </a:ln>
            <a:effectLst/>
          </c:spPr>
          <c:invertIfNegative val="0"/>
          <c:cat>
            <c:strRef>
              <c:f>'PivotTables &amp; Charts'!$A$52:$A$59</c:f>
              <c:strCache>
                <c:ptCount val="7"/>
                <c:pt idx="0">
                  <c:v>Mon</c:v>
                </c:pt>
                <c:pt idx="1">
                  <c:v>Tue</c:v>
                </c:pt>
                <c:pt idx="2">
                  <c:v>Wed</c:v>
                </c:pt>
                <c:pt idx="3">
                  <c:v>Thu</c:v>
                </c:pt>
                <c:pt idx="4">
                  <c:v>Fri</c:v>
                </c:pt>
                <c:pt idx="5">
                  <c:v>Sat</c:v>
                </c:pt>
                <c:pt idx="6">
                  <c:v>Sun</c:v>
                </c:pt>
              </c:strCache>
            </c:strRef>
          </c:cat>
          <c:val>
            <c:numRef>
              <c:f>'PivotTables &amp; Charts'!$B$52:$B$59</c:f>
              <c:numCache>
                <c:formatCode>General</c:formatCode>
                <c:ptCount val="7"/>
                <c:pt idx="0">
                  <c:v>594954</c:v>
                </c:pt>
                <c:pt idx="1">
                  <c:v>469470</c:v>
                </c:pt>
                <c:pt idx="2">
                  <c:v>594438</c:v>
                </c:pt>
                <c:pt idx="3">
                  <c:v>715032</c:v>
                </c:pt>
                <c:pt idx="4">
                  <c:v>661876</c:v>
                </c:pt>
                <c:pt idx="5">
                  <c:v>846678</c:v>
                </c:pt>
                <c:pt idx="6">
                  <c:v>478902</c:v>
                </c:pt>
              </c:numCache>
            </c:numRef>
          </c:val>
          <c:extLst>
            <c:ext xmlns:c16="http://schemas.microsoft.com/office/drawing/2014/chart" uri="{C3380CC4-5D6E-409C-BE32-E72D297353CC}">
              <c16:uniqueId val="{00000000-8BAF-42C7-953A-5035FF539799}"/>
            </c:ext>
          </c:extLst>
        </c:ser>
        <c:dLbls>
          <c:showLegendKey val="0"/>
          <c:showVal val="0"/>
          <c:showCatName val="0"/>
          <c:showSerName val="0"/>
          <c:showPercent val="0"/>
          <c:showBubbleSize val="0"/>
        </c:dLbls>
        <c:gapWidth val="219"/>
        <c:overlap val="-27"/>
        <c:axId val="290504416"/>
        <c:axId val="290501920"/>
      </c:barChart>
      <c:catAx>
        <c:axId val="290504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501920"/>
        <c:crosses val="autoZero"/>
        <c:auto val="1"/>
        <c:lblAlgn val="ctr"/>
        <c:lblOffset val="100"/>
        <c:noMultiLvlLbl val="0"/>
      </c:catAx>
      <c:valAx>
        <c:axId val="290501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504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[Sales_Final_Code__excel file.xlsx]PivotTables &amp; Charts!PivotTable8</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Sales</a:t>
            </a:r>
            <a:r>
              <a:rPr lang="en-US" baseline="0"/>
              <a:t> Days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 &amp; Charts'!$B$63</c:f>
              <c:strCache>
                <c:ptCount val="1"/>
                <c:pt idx="0">
                  <c:v>Total</c:v>
                </c:pt>
              </c:strCache>
            </c:strRef>
          </c:tx>
          <c:spPr>
            <a:solidFill>
              <a:schemeClr val="accent1"/>
            </a:solidFill>
            <a:ln>
              <a:noFill/>
            </a:ln>
            <a:effectLst/>
          </c:spPr>
          <c:invertIfNegative val="0"/>
          <c:cat>
            <c:strRef>
              <c:f>'PivotTables &amp; Charts'!$A$64:$A$74</c:f>
              <c:strCache>
                <c:ptCount val="10"/>
                <c:pt idx="0">
                  <c:v>2014-05-31</c:v>
                </c:pt>
                <c:pt idx="1">
                  <c:v>2014-08-01</c:v>
                </c:pt>
                <c:pt idx="2">
                  <c:v>2014-04-17</c:v>
                </c:pt>
                <c:pt idx="3">
                  <c:v>2014-09-27</c:v>
                </c:pt>
                <c:pt idx="4">
                  <c:v>2014-08-02</c:v>
                </c:pt>
                <c:pt idx="5">
                  <c:v>2014-10-04</c:v>
                </c:pt>
                <c:pt idx="6">
                  <c:v>2014-02-28</c:v>
                </c:pt>
                <c:pt idx="7">
                  <c:v>2015-04-02</c:v>
                </c:pt>
                <c:pt idx="8">
                  <c:v>2014-08-30</c:v>
                </c:pt>
                <c:pt idx="9">
                  <c:v>2014-03-01</c:v>
                </c:pt>
              </c:strCache>
            </c:strRef>
          </c:cat>
          <c:val>
            <c:numRef>
              <c:f>'PivotTables &amp; Charts'!$B$64:$B$74</c:f>
              <c:numCache>
                <c:formatCode>General</c:formatCode>
                <c:ptCount val="10"/>
                <c:pt idx="0">
                  <c:v>603749</c:v>
                </c:pt>
                <c:pt idx="1">
                  <c:v>611895</c:v>
                </c:pt>
                <c:pt idx="2">
                  <c:v>612236</c:v>
                </c:pt>
                <c:pt idx="3">
                  <c:v>617019</c:v>
                </c:pt>
                <c:pt idx="4">
                  <c:v>628685</c:v>
                </c:pt>
                <c:pt idx="5">
                  <c:v>656246</c:v>
                </c:pt>
                <c:pt idx="6">
                  <c:v>661876</c:v>
                </c:pt>
                <c:pt idx="7">
                  <c:v>715032</c:v>
                </c:pt>
                <c:pt idx="8">
                  <c:v>717097</c:v>
                </c:pt>
                <c:pt idx="9">
                  <c:v>846678</c:v>
                </c:pt>
              </c:numCache>
            </c:numRef>
          </c:val>
          <c:extLst>
            <c:ext xmlns:c16="http://schemas.microsoft.com/office/drawing/2014/chart" uri="{C3380CC4-5D6E-409C-BE32-E72D297353CC}">
              <c16:uniqueId val="{00000000-F30B-4454-BBCD-97F630CD1FB6}"/>
            </c:ext>
          </c:extLst>
        </c:ser>
        <c:dLbls>
          <c:showLegendKey val="0"/>
          <c:showVal val="0"/>
          <c:showCatName val="0"/>
          <c:showSerName val="0"/>
          <c:showPercent val="0"/>
          <c:showBubbleSize val="0"/>
        </c:dLbls>
        <c:gapWidth val="182"/>
        <c:axId val="447888976"/>
        <c:axId val="447873168"/>
      </c:barChart>
      <c:catAx>
        <c:axId val="447888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873168"/>
        <c:crosses val="autoZero"/>
        <c:auto val="1"/>
        <c:lblAlgn val="ctr"/>
        <c:lblOffset val="100"/>
        <c:noMultiLvlLbl val="0"/>
      </c:catAx>
      <c:valAx>
        <c:axId val="4478731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8889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[Sales_Final_Code__excel file.xlsx]PivotTables &amp; Charts!PivotTable9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Unit Sales</a:t>
            </a:r>
            <a:r>
              <a:rPr lang="en-US" baseline="0"/>
              <a:t> Price by Month Over the Years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 &amp; Charts'!$B$78</c:f>
              <c:strCache>
                <c:ptCount val="1"/>
                <c:pt idx="0">
                  <c:v>Total</c:v>
                </c:pt>
              </c:strCache>
            </c:strRef>
          </c:tx>
          <c:spPr>
            <a:ln w="28575" cap="rnd">
              <a:solidFill>
                <a:schemeClr val="accent1"/>
              </a:solidFill>
              <a:round/>
            </a:ln>
            <a:effectLst/>
          </c:spPr>
          <c:marker>
            <c:symbol val="none"/>
          </c:marker>
          <c:cat>
            <c:multiLvlStrRef>
              <c:f>'PivotTables &amp; Charts'!$A$79:$A$119</c:f>
              <c:multiLvlStrCache>
                <c:ptCount val="36"/>
                <c:lvl>
                  <c:pt idx="0">
                    <c:v>December</c:v>
                  </c:pt>
                  <c:pt idx="1">
                    <c:v>January</c:v>
                  </c:pt>
                  <c:pt idx="2">
                    <c:v>February</c:v>
                  </c:pt>
                  <c:pt idx="3">
                    <c:v>March</c:v>
                  </c:pt>
                  <c:pt idx="4">
                    <c:v>April</c:v>
                  </c:pt>
                  <c:pt idx="5">
                    <c:v>May</c:v>
                  </c:pt>
                  <c:pt idx="6">
                    <c:v>June</c:v>
                  </c:pt>
                  <c:pt idx="7">
                    <c:v>July</c:v>
                  </c:pt>
                  <c:pt idx="8">
                    <c:v>August</c:v>
                  </c:pt>
                  <c:pt idx="9">
                    <c:v>September</c:v>
                  </c:pt>
                  <c:pt idx="10">
                    <c:v>October</c:v>
                  </c:pt>
                  <c:pt idx="11">
                    <c:v>November</c:v>
                  </c:pt>
                  <c:pt idx="12">
                    <c:v>December</c:v>
                  </c:pt>
                  <c:pt idx="13">
                    <c:v>January</c:v>
                  </c:pt>
                  <c:pt idx="14">
                    <c:v>February</c:v>
                  </c:pt>
                  <c:pt idx="15">
                    <c:v>March</c:v>
                  </c:pt>
                  <c:pt idx="16">
                    <c:v>April</c:v>
                  </c:pt>
                  <c:pt idx="17">
                    <c:v>May</c:v>
                  </c:pt>
                  <c:pt idx="18">
                    <c:v>June</c:v>
                  </c:pt>
                  <c:pt idx="19">
                    <c:v>July</c:v>
                  </c:pt>
                  <c:pt idx="20">
                    <c:v>August</c:v>
                  </c:pt>
                  <c:pt idx="21">
                    <c:v>September</c:v>
                  </c:pt>
                  <c:pt idx="22">
                    <c:v>October</c:v>
                  </c:pt>
                  <c:pt idx="23">
                    <c:v>November</c:v>
                  </c:pt>
                  <c:pt idx="24">
                    <c:v>December</c:v>
                  </c:pt>
                  <c:pt idx="25">
                    <c:v>January</c:v>
                  </c:pt>
                  <c:pt idx="26">
                    <c:v>February</c:v>
                  </c:pt>
                  <c:pt idx="27">
                    <c:v>March</c:v>
                  </c:pt>
                  <c:pt idx="28">
                    <c:v>April</c:v>
                  </c:pt>
                  <c:pt idx="29">
                    <c:v>May</c:v>
                  </c:pt>
                  <c:pt idx="30">
                    <c:v>June</c:v>
                  </c:pt>
                  <c:pt idx="31">
                    <c:v>July</c:v>
                  </c:pt>
                  <c:pt idx="32">
                    <c:v>August</c:v>
                  </c:pt>
                  <c:pt idx="33">
                    <c:v>September</c:v>
                  </c:pt>
                  <c:pt idx="34">
                    <c:v>October</c:v>
                  </c:pt>
                  <c:pt idx="35">
                    <c:v>November</c:v>
                  </c:pt>
                </c:lvl>
                <c:lvl>
                  <c:pt idx="0">
                    <c:v>2013</c:v>
                  </c:pt>
                  <c:pt idx="1">
                    <c:v>2014</c:v>
                  </c:pt>
                  <c:pt idx="13">
                    <c:v>2015</c:v>
                  </c:pt>
                  <c:pt idx="25">
                    <c:v>2016</c:v>
                  </c:pt>
                </c:lvl>
              </c:multiLvlStrCache>
            </c:multiLvlStrRef>
          </c:cat>
          <c:val>
            <c:numRef>
              <c:f>'PivotTables &amp; Charts'!$B$79:$B$119</c:f>
              <c:numCache>
                <c:formatCode>General</c:formatCode>
                <c:ptCount val="36"/>
                <c:pt idx="0">
                  <c:v>32.5</c:v>
                </c:pt>
                <c:pt idx="1">
                  <c:v>33.548387096774192</c:v>
                </c:pt>
                <c:pt idx="2">
                  <c:v>32.464285714285715</c:v>
                </c:pt>
                <c:pt idx="3">
                  <c:v>33.322580645161288</c:v>
                </c:pt>
                <c:pt idx="4">
                  <c:v>33.93333333333333</c:v>
                </c:pt>
                <c:pt idx="5">
                  <c:v>32.967741935483872</c:v>
                </c:pt>
                <c:pt idx="6">
                  <c:v>32.866666666666667</c:v>
                </c:pt>
                <c:pt idx="7">
                  <c:v>34.032258064516128</c:v>
                </c:pt>
                <c:pt idx="8">
                  <c:v>32.225806451612904</c:v>
                </c:pt>
                <c:pt idx="9">
                  <c:v>33.266666666666666</c:v>
                </c:pt>
                <c:pt idx="10">
                  <c:v>36.032258064516128</c:v>
                </c:pt>
                <c:pt idx="11">
                  <c:v>39.466666666666669</c:v>
                </c:pt>
                <c:pt idx="12">
                  <c:v>39.70967741935484</c:v>
                </c:pt>
                <c:pt idx="13">
                  <c:v>40.612903225806448</c:v>
                </c:pt>
                <c:pt idx="14">
                  <c:v>39.035714285714285</c:v>
                </c:pt>
                <c:pt idx="15">
                  <c:v>39.548387096774192</c:v>
                </c:pt>
                <c:pt idx="16">
                  <c:v>40.133333333333333</c:v>
                </c:pt>
                <c:pt idx="17">
                  <c:v>38.354838709677416</c:v>
                </c:pt>
                <c:pt idx="18">
                  <c:v>40.133333333333333</c:v>
                </c:pt>
                <c:pt idx="19">
                  <c:v>38.838709677419352</c:v>
                </c:pt>
                <c:pt idx="20">
                  <c:v>37.516129032258064</c:v>
                </c:pt>
                <c:pt idx="21">
                  <c:v>36.266666666666666</c:v>
                </c:pt>
                <c:pt idx="22">
                  <c:v>37.12903225806452</c:v>
                </c:pt>
                <c:pt idx="23">
                  <c:v>35.533333333333331</c:v>
                </c:pt>
                <c:pt idx="24">
                  <c:v>36.806451612903224</c:v>
                </c:pt>
                <c:pt idx="25">
                  <c:v>37.41935483870968</c:v>
                </c:pt>
                <c:pt idx="26">
                  <c:v>38.413793103448278</c:v>
                </c:pt>
                <c:pt idx="27">
                  <c:v>40.322580645161288</c:v>
                </c:pt>
                <c:pt idx="28">
                  <c:v>35.366666666666667</c:v>
                </c:pt>
                <c:pt idx="29">
                  <c:v>37.903225806451616</c:v>
                </c:pt>
                <c:pt idx="30">
                  <c:v>34.6</c:v>
                </c:pt>
                <c:pt idx="31">
                  <c:v>40.258064516129032</c:v>
                </c:pt>
                <c:pt idx="32">
                  <c:v>36.87096774193548</c:v>
                </c:pt>
                <c:pt idx="33">
                  <c:v>38.633333333333333</c:v>
                </c:pt>
                <c:pt idx="34">
                  <c:v>41.645161290322584</c:v>
                </c:pt>
                <c:pt idx="35">
                  <c:v>43.125</c:v>
                </c:pt>
              </c:numCache>
            </c:numRef>
          </c:val>
          <c:smooth val="0"/>
          <c:extLst>
            <c:ext xmlns:c16="http://schemas.microsoft.com/office/drawing/2014/chart" uri="{C3380CC4-5D6E-409C-BE32-E72D297353CC}">
              <c16:uniqueId val="{00000002-7609-419B-83F4-5560BEC5BF47}"/>
            </c:ext>
          </c:extLst>
        </c:ser>
        <c:dLbls>
          <c:showLegendKey val="0"/>
          <c:showVal val="0"/>
          <c:showCatName val="0"/>
          <c:showSerName val="0"/>
          <c:showPercent val="0"/>
          <c:showBubbleSize val="0"/>
        </c:dLbls>
        <c:smooth val="0"/>
        <c:axId val="580350304"/>
        <c:axId val="580346144"/>
      </c:lineChart>
      <c:catAx>
        <c:axId val="580350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346144"/>
        <c:crosses val="autoZero"/>
        <c:auto val="1"/>
        <c:lblAlgn val="ctr"/>
        <c:lblOffset val="100"/>
        <c:noMultiLvlLbl val="0"/>
      </c:catAx>
      <c:valAx>
        <c:axId val="580346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3503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[Sales_Final_Code__excel file.xlsx]PivotTables &amp; Charts!PivotTable17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Montly Gross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 &amp; Charts'!$B$125</c:f>
              <c:strCache>
                <c:ptCount val="1"/>
                <c:pt idx="0">
                  <c:v>Total</c:v>
                </c:pt>
              </c:strCache>
            </c:strRef>
          </c:tx>
          <c:spPr>
            <a:solidFill>
              <a:schemeClr val="accent1"/>
            </a:solidFill>
            <a:ln>
              <a:noFill/>
            </a:ln>
            <a:effectLst/>
          </c:spPr>
          <c:invertIfNegative val="0"/>
          <c:cat>
            <c:multiLvlStrRef>
              <c:f>'PivotTables &amp; Charts'!$A$126:$A$166</c:f>
              <c:multiLvlStrCache>
                <c:ptCount val="36"/>
                <c:lvl>
                  <c:pt idx="0">
                    <c:v>December</c:v>
                  </c:pt>
                  <c:pt idx="1">
                    <c:v>January</c:v>
                  </c:pt>
                  <c:pt idx="2">
                    <c:v>February</c:v>
                  </c:pt>
                  <c:pt idx="3">
                    <c:v>March</c:v>
                  </c:pt>
                  <c:pt idx="4">
                    <c:v>April</c:v>
                  </c:pt>
                  <c:pt idx="5">
                    <c:v>May</c:v>
                  </c:pt>
                  <c:pt idx="6">
                    <c:v>June</c:v>
                  </c:pt>
                  <c:pt idx="7">
                    <c:v>July</c:v>
                  </c:pt>
                  <c:pt idx="8">
                    <c:v>August</c:v>
                  </c:pt>
                  <c:pt idx="9">
                    <c:v>September</c:v>
                  </c:pt>
                  <c:pt idx="10">
                    <c:v>October</c:v>
                  </c:pt>
                  <c:pt idx="11">
                    <c:v>November</c:v>
                  </c:pt>
                  <c:pt idx="12">
                    <c:v>December</c:v>
                  </c:pt>
                  <c:pt idx="13">
                    <c:v>January</c:v>
                  </c:pt>
                  <c:pt idx="14">
                    <c:v>February</c:v>
                  </c:pt>
                  <c:pt idx="15">
                    <c:v>March</c:v>
                  </c:pt>
                  <c:pt idx="16">
                    <c:v>April</c:v>
                  </c:pt>
                  <c:pt idx="17">
                    <c:v>May</c:v>
                  </c:pt>
                  <c:pt idx="18">
                    <c:v>June</c:v>
                  </c:pt>
                  <c:pt idx="19">
                    <c:v>July</c:v>
                  </c:pt>
                  <c:pt idx="20">
                    <c:v>August</c:v>
                  </c:pt>
                  <c:pt idx="21">
                    <c:v>September</c:v>
                  </c:pt>
                  <c:pt idx="22">
                    <c:v>October</c:v>
                  </c:pt>
                  <c:pt idx="23">
                    <c:v>November</c:v>
                  </c:pt>
                  <c:pt idx="24">
                    <c:v>December</c:v>
                  </c:pt>
                  <c:pt idx="25">
                    <c:v>January</c:v>
                  </c:pt>
                  <c:pt idx="26">
                    <c:v>February</c:v>
                  </c:pt>
                  <c:pt idx="27">
                    <c:v>March</c:v>
                  </c:pt>
                  <c:pt idx="28">
                    <c:v>April</c:v>
                  </c:pt>
                  <c:pt idx="29">
                    <c:v>May</c:v>
                  </c:pt>
                  <c:pt idx="30">
                    <c:v>June</c:v>
                  </c:pt>
                  <c:pt idx="31">
                    <c:v>July</c:v>
                  </c:pt>
                  <c:pt idx="32">
                    <c:v>August</c:v>
                  </c:pt>
                  <c:pt idx="33">
                    <c:v>September</c:v>
                  </c:pt>
                  <c:pt idx="34">
                    <c:v>October</c:v>
                  </c:pt>
                  <c:pt idx="35">
                    <c:v>November</c:v>
                  </c:pt>
                </c:lvl>
                <c:lvl>
                  <c:pt idx="0">
                    <c:v>2013</c:v>
                  </c:pt>
                  <c:pt idx="1">
                    <c:v>2014</c:v>
                  </c:pt>
                  <c:pt idx="13">
                    <c:v>2015</c:v>
                  </c:pt>
                  <c:pt idx="25">
                    <c:v>2016</c:v>
                  </c:pt>
                </c:lvl>
              </c:multiLvlStrCache>
            </c:multiLvlStrRef>
          </c:cat>
          <c:val>
            <c:numRef>
              <c:f>'PivotTables &amp; Charts'!$B$126:$B$166</c:f>
              <c:numCache>
                <c:formatCode>General</c:formatCode>
                <c:ptCount val="36"/>
                <c:pt idx="0">
                  <c:v>-12783</c:v>
                </c:pt>
                <c:pt idx="1">
                  <c:v>12460</c:v>
                </c:pt>
                <c:pt idx="2">
                  <c:v>-132992</c:v>
                </c:pt>
                <c:pt idx="3">
                  <c:v>-136135</c:v>
                </c:pt>
                <c:pt idx="4">
                  <c:v>-43898</c:v>
                </c:pt>
                <c:pt idx="5">
                  <c:v>-322334</c:v>
                </c:pt>
                <c:pt idx="6">
                  <c:v>-188902</c:v>
                </c:pt>
                <c:pt idx="7">
                  <c:v>-71182</c:v>
                </c:pt>
                <c:pt idx="8">
                  <c:v>-514056</c:v>
                </c:pt>
                <c:pt idx="9">
                  <c:v>-550106</c:v>
                </c:pt>
                <c:pt idx="10">
                  <c:v>-113778</c:v>
                </c:pt>
                <c:pt idx="11">
                  <c:v>114228</c:v>
                </c:pt>
                <c:pt idx="12">
                  <c:v>-319176</c:v>
                </c:pt>
                <c:pt idx="13">
                  <c:v>-155067</c:v>
                </c:pt>
                <c:pt idx="14">
                  <c:v>-250252</c:v>
                </c:pt>
                <c:pt idx="15">
                  <c:v>-330275</c:v>
                </c:pt>
                <c:pt idx="16">
                  <c:v>-322679</c:v>
                </c:pt>
                <c:pt idx="17">
                  <c:v>-589336</c:v>
                </c:pt>
                <c:pt idx="18">
                  <c:v>-188818</c:v>
                </c:pt>
                <c:pt idx="19">
                  <c:v>-151496</c:v>
                </c:pt>
                <c:pt idx="20">
                  <c:v>-276260</c:v>
                </c:pt>
                <c:pt idx="21">
                  <c:v>-354595</c:v>
                </c:pt>
                <c:pt idx="22">
                  <c:v>-346520</c:v>
                </c:pt>
                <c:pt idx="23">
                  <c:v>-600685</c:v>
                </c:pt>
                <c:pt idx="24">
                  <c:v>-333630</c:v>
                </c:pt>
                <c:pt idx="25">
                  <c:v>-254255</c:v>
                </c:pt>
                <c:pt idx="26">
                  <c:v>2580</c:v>
                </c:pt>
                <c:pt idx="27">
                  <c:v>34051</c:v>
                </c:pt>
                <c:pt idx="28">
                  <c:v>-470852</c:v>
                </c:pt>
                <c:pt idx="29">
                  <c:v>-168164</c:v>
                </c:pt>
                <c:pt idx="30">
                  <c:v>-397216</c:v>
                </c:pt>
                <c:pt idx="31">
                  <c:v>56427</c:v>
                </c:pt>
                <c:pt idx="32">
                  <c:v>-136456</c:v>
                </c:pt>
                <c:pt idx="33">
                  <c:v>49344</c:v>
                </c:pt>
                <c:pt idx="34">
                  <c:v>219960</c:v>
                </c:pt>
                <c:pt idx="35">
                  <c:v>126557</c:v>
                </c:pt>
              </c:numCache>
            </c:numRef>
          </c:val>
          <c:extLst>
            <c:ext xmlns:c16="http://schemas.microsoft.com/office/drawing/2014/chart" uri="{C3380CC4-5D6E-409C-BE32-E72D297353CC}">
              <c16:uniqueId val="{00000000-358D-4D23-B254-DD60BBB60E5D}"/>
            </c:ext>
          </c:extLst>
        </c:ser>
        <c:dLbls>
          <c:showLegendKey val="0"/>
          <c:showVal val="0"/>
          <c:showCatName val="0"/>
          <c:showSerName val="0"/>
          <c:showPercent val="0"/>
          <c:showBubbleSize val="0"/>
        </c:dLbls>
        <c:gapWidth val="219"/>
        <c:overlap val="-27"/>
        <c:axId val="722986768"/>
        <c:axId val="722990096"/>
      </c:barChart>
      <c:catAx>
        <c:axId val="722986768"/>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990096"/>
        <c:crosses val="autoZero"/>
        <c:auto val="1"/>
        <c:lblAlgn val="ctr"/>
        <c:lblOffset val="100"/>
        <c:noMultiLvlLbl val="0"/>
      </c:catAx>
      <c:valAx>
        <c:axId val="722990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986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[Sales_Final_Code__excel file.xlsx]PivotTables &amp; Charts!PivotTable19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Gross</a:t>
            </a:r>
            <a:r>
              <a:rPr lang="en-US" baseline="0"/>
              <a:t> Profit %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 &amp; Charts'!$B$169</c:f>
              <c:strCache>
                <c:ptCount val="1"/>
                <c:pt idx="0">
                  <c:v>Total</c:v>
                </c:pt>
              </c:strCache>
            </c:strRef>
          </c:tx>
          <c:spPr>
            <a:ln w="28575" cap="rnd">
              <a:solidFill>
                <a:schemeClr val="accent1"/>
              </a:solidFill>
              <a:round/>
            </a:ln>
            <a:effectLst/>
          </c:spPr>
          <c:marker>
            <c:symbol val="none"/>
          </c:marker>
          <c:cat>
            <c:multiLvlStrRef>
              <c:f>'PivotTables &amp; Charts'!$A$170:$A$210</c:f>
              <c:multiLvlStrCache>
                <c:ptCount val="36"/>
                <c:lvl>
                  <c:pt idx="0">
                    <c:v>December</c:v>
                  </c:pt>
                  <c:pt idx="1">
                    <c:v>January</c:v>
                  </c:pt>
                  <c:pt idx="2">
                    <c:v>February</c:v>
                  </c:pt>
                  <c:pt idx="3">
                    <c:v>March</c:v>
                  </c:pt>
                  <c:pt idx="4">
                    <c:v>April</c:v>
                  </c:pt>
                  <c:pt idx="5">
                    <c:v>May</c:v>
                  </c:pt>
                  <c:pt idx="6">
                    <c:v>June</c:v>
                  </c:pt>
                  <c:pt idx="7">
                    <c:v>July</c:v>
                  </c:pt>
                  <c:pt idx="8">
                    <c:v>August</c:v>
                  </c:pt>
                  <c:pt idx="9">
                    <c:v>September</c:v>
                  </c:pt>
                  <c:pt idx="10">
                    <c:v>October</c:v>
                  </c:pt>
                  <c:pt idx="11">
                    <c:v>November</c:v>
                  </c:pt>
                  <c:pt idx="12">
                    <c:v>December</c:v>
                  </c:pt>
                  <c:pt idx="13">
                    <c:v>January</c:v>
                  </c:pt>
                  <c:pt idx="14">
                    <c:v>February</c:v>
                  </c:pt>
                  <c:pt idx="15">
                    <c:v>March</c:v>
                  </c:pt>
                  <c:pt idx="16">
                    <c:v>April</c:v>
                  </c:pt>
                  <c:pt idx="17">
                    <c:v>May</c:v>
                  </c:pt>
                  <c:pt idx="18">
                    <c:v>June</c:v>
                  </c:pt>
                  <c:pt idx="19">
                    <c:v>July</c:v>
                  </c:pt>
                  <c:pt idx="20">
                    <c:v>August</c:v>
                  </c:pt>
                  <c:pt idx="21">
                    <c:v>September</c:v>
                  </c:pt>
                  <c:pt idx="22">
                    <c:v>October</c:v>
                  </c:pt>
                  <c:pt idx="23">
                    <c:v>November</c:v>
                  </c:pt>
                  <c:pt idx="24">
                    <c:v>December</c:v>
                  </c:pt>
                  <c:pt idx="25">
                    <c:v>January</c:v>
                  </c:pt>
                  <c:pt idx="26">
                    <c:v>February</c:v>
                  </c:pt>
                  <c:pt idx="27">
                    <c:v>March</c:v>
                  </c:pt>
                  <c:pt idx="28">
                    <c:v>April</c:v>
                  </c:pt>
                  <c:pt idx="29">
                    <c:v>May</c:v>
                  </c:pt>
                  <c:pt idx="30">
                    <c:v>June</c:v>
                  </c:pt>
                  <c:pt idx="31">
                    <c:v>July</c:v>
                  </c:pt>
                  <c:pt idx="32">
                    <c:v>August</c:v>
                  </c:pt>
                  <c:pt idx="33">
                    <c:v>September</c:v>
                  </c:pt>
                  <c:pt idx="34">
                    <c:v>October</c:v>
                  </c:pt>
                  <c:pt idx="35">
                    <c:v>November</c:v>
                  </c:pt>
                </c:lvl>
                <c:lvl>
                  <c:pt idx="0">
                    <c:v>2013</c:v>
                  </c:pt>
                  <c:pt idx="1">
                    <c:v>2014</c:v>
                  </c:pt>
                  <c:pt idx="13">
                    <c:v>2015</c:v>
                  </c:pt>
                  <c:pt idx="25">
                    <c:v>2016</c:v>
                  </c:pt>
                </c:lvl>
              </c:multiLvlStrCache>
            </c:multiLvlStrRef>
          </c:cat>
          <c:val>
            <c:numRef>
              <c:f>'PivotTables &amp; Charts'!$B$170:$B$210</c:f>
              <c:numCache>
                <c:formatCode>General</c:formatCode>
                <c:ptCount val="36"/>
                <c:pt idx="0">
                  <c:v>-5</c:v>
                </c:pt>
                <c:pt idx="1">
                  <c:v>32</c:v>
                </c:pt>
                <c:pt idx="2">
                  <c:v>-42</c:v>
                </c:pt>
                <c:pt idx="3">
                  <c:v>-11</c:v>
                </c:pt>
                <c:pt idx="4">
                  <c:v>-4</c:v>
                </c:pt>
                <c:pt idx="5">
                  <c:v>-102</c:v>
                </c:pt>
                <c:pt idx="6">
                  <c:v>-54</c:v>
                </c:pt>
                <c:pt idx="7">
                  <c:v>16</c:v>
                </c:pt>
                <c:pt idx="8">
                  <c:v>-134</c:v>
                </c:pt>
                <c:pt idx="9">
                  <c:v>-115</c:v>
                </c:pt>
                <c:pt idx="10">
                  <c:v>43</c:v>
                </c:pt>
                <c:pt idx="11">
                  <c:v>179</c:v>
                </c:pt>
                <c:pt idx="12">
                  <c:v>-135</c:v>
                </c:pt>
                <c:pt idx="13">
                  <c:v>-102</c:v>
                </c:pt>
                <c:pt idx="14">
                  <c:v>-118</c:v>
                </c:pt>
                <c:pt idx="15">
                  <c:v>-116</c:v>
                </c:pt>
                <c:pt idx="16">
                  <c:v>-76</c:v>
                </c:pt>
                <c:pt idx="17">
                  <c:v>-214</c:v>
                </c:pt>
                <c:pt idx="18">
                  <c:v>-35</c:v>
                </c:pt>
                <c:pt idx="19">
                  <c:v>-108</c:v>
                </c:pt>
                <c:pt idx="20">
                  <c:v>-156</c:v>
                </c:pt>
                <c:pt idx="21">
                  <c:v>-80</c:v>
                </c:pt>
                <c:pt idx="22">
                  <c:v>-85</c:v>
                </c:pt>
                <c:pt idx="23">
                  <c:v>-240</c:v>
                </c:pt>
                <c:pt idx="24">
                  <c:v>-118</c:v>
                </c:pt>
                <c:pt idx="25">
                  <c:v>-45</c:v>
                </c:pt>
                <c:pt idx="26">
                  <c:v>105</c:v>
                </c:pt>
                <c:pt idx="27">
                  <c:v>69</c:v>
                </c:pt>
                <c:pt idx="28">
                  <c:v>-190</c:v>
                </c:pt>
                <c:pt idx="29">
                  <c:v>92</c:v>
                </c:pt>
                <c:pt idx="30">
                  <c:v>-136</c:v>
                </c:pt>
                <c:pt idx="31">
                  <c:v>302</c:v>
                </c:pt>
                <c:pt idx="32">
                  <c:v>28</c:v>
                </c:pt>
                <c:pt idx="33">
                  <c:v>197</c:v>
                </c:pt>
                <c:pt idx="34">
                  <c:v>309</c:v>
                </c:pt>
                <c:pt idx="35">
                  <c:v>112</c:v>
                </c:pt>
              </c:numCache>
            </c:numRef>
          </c:val>
          <c:smooth val="0"/>
          <c:extLst>
            <c:ext xmlns:c16="http://schemas.microsoft.com/office/drawing/2014/chart" uri="{C3380CC4-5D6E-409C-BE32-E72D297353CC}">
              <c16:uniqueId val="{00000000-A07D-40F9-ADB4-99FD6F311241}"/>
            </c:ext>
          </c:extLst>
        </c:ser>
        <c:dLbls>
          <c:showLegendKey val="0"/>
          <c:showVal val="0"/>
          <c:showCatName val="0"/>
          <c:showSerName val="0"/>
          <c:showPercent val="0"/>
          <c:showBubbleSize val="0"/>
        </c:dLbls>
        <c:smooth val="0"/>
        <c:axId val="653827456"/>
        <c:axId val="653837024"/>
      </c:lineChart>
      <c:catAx>
        <c:axId val="653827456"/>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3837024"/>
        <c:crosses val="autoZero"/>
        <c:auto val="1"/>
        <c:lblAlgn val="ctr"/>
        <c:lblOffset val="100"/>
        <c:noMultiLvlLbl val="0"/>
      </c:catAx>
      <c:valAx>
        <c:axId val="653837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38274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Avg Daily Sales: Baseline vs Promotion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'PivotTables &amp; Charts'!$B$214</c:f>
              <c:strCache>
                <c:ptCount val="1"/>
                <c:pt idx="0">
                  <c:v>Baseline</c:v>
                </c:pt>
              </c:strCache>
            </c:strRef>
          </c:tx>
          <c:spPr>
            <a:solidFill>
              <a:schemeClr val="accent1"/>
            </a:solidFill>
            <a:ln>
              <a:noFill/>
            </a:ln>
            <a:effectLst/>
          </c:spPr>
          <c:invertIfNegative val="0"/>
          <c:cat>
            <c:strRef>
              <c:f>'PivotTables &amp; Charts'!$A$215:$A$217</c:f>
              <c:strCache>
                <c:ptCount val="3"/>
                <c:pt idx="0">
                  <c:v>February 2014</c:v>
                </c:pt>
                <c:pt idx="1">
                  <c:v>August 2014</c:v>
                </c:pt>
                <c:pt idx="2">
                  <c:v>June 2015</c:v>
                </c:pt>
              </c:strCache>
            </c:strRef>
          </c:cat>
          <c:val>
            <c:numRef>
              <c:f>'PivotTables &amp; Charts'!$B$215:$B$217</c:f>
              <c:numCache>
                <c:formatCode>General</c:formatCode>
                <c:ptCount val="3"/>
                <c:pt idx="0">
                  <c:v>171274</c:v>
                </c:pt>
                <c:pt idx="1">
                  <c:v>302620</c:v>
                </c:pt>
                <c:pt idx="2">
                  <c:v>107529</c:v>
                </c:pt>
              </c:numCache>
            </c:numRef>
          </c:val>
          <c:extLst>
            <c:ext xmlns:c16="http://schemas.microsoft.com/office/drawing/2014/chart" uri="{C3380CC4-5D6E-409C-BE32-E72D297353CC}">
              <c16:uniqueId val="{00000000-D593-4100-8EA8-99FABD78CD51}"/>
            </c:ext>
          </c:extLst>
        </c:ser>
        <c:ser>
          <c:idx val="1"/>
          <c:order val="1"/>
          <c:tx>
            <c:strRef>
              <c:f>'PivotTables &amp; Charts'!$C$214</c:f>
              <c:strCache>
                <c:ptCount val="1"/>
                <c:pt idx="0">
                  <c:v>Promotion</c:v>
                </c:pt>
              </c:strCache>
            </c:strRef>
          </c:tx>
          <c:spPr>
            <a:solidFill>
              <a:schemeClr val="accent2"/>
            </a:solidFill>
            <a:ln>
              <a:noFill/>
            </a:ln>
            <a:effectLst/>
          </c:spPr>
          <c:invertIfNegative val="0"/>
          <c:cat>
            <c:strRef>
              <c:f>'PivotTables &amp; Charts'!$A$215:$A$217</c:f>
              <c:strCache>
                <c:ptCount val="3"/>
                <c:pt idx="0">
                  <c:v>February 2014</c:v>
                </c:pt>
                <c:pt idx="1">
                  <c:v>August 2014</c:v>
                </c:pt>
                <c:pt idx="2">
                  <c:v>June 2015</c:v>
                </c:pt>
              </c:strCache>
            </c:strRef>
          </c:cat>
          <c:val>
            <c:numRef>
              <c:f>'PivotTables &amp; Charts'!$C$215:$C$217</c:f>
              <c:numCache>
                <c:formatCode>General</c:formatCode>
                <c:ptCount val="3"/>
                <c:pt idx="0">
                  <c:v>294374</c:v>
                </c:pt>
                <c:pt idx="1">
                  <c:v>407480</c:v>
                </c:pt>
                <c:pt idx="2">
                  <c:v>220422</c:v>
                </c:pt>
              </c:numCache>
            </c:numRef>
          </c:val>
          <c:extLst>
            <c:ext xmlns:c16="http://schemas.microsoft.com/office/drawing/2014/chart" uri="{C3380CC4-5D6E-409C-BE32-E72D297353CC}">
              <c16:uniqueId val="{00000001-D593-4100-8EA8-99FABD78CD51}"/>
            </c:ext>
          </c:extLst>
        </c:ser>
        <c:dLbls>
          <c:showLegendKey val="0"/>
          <c:showVal val="0"/>
          <c:showCatName val="0"/>
          <c:showSerName val="0"/>
          <c:showPercent val="0"/>
          <c:showBubbleSize val="0"/>
        </c:dLbls>
        <c:gapWidth val="219"/>
        <c:overlap val="-27"/>
        <c:axId val="642933104"/>
        <c:axId val="642931440"/>
      </c:barChart>
      <c:catAx>
        <c:axId val="6429331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931440"/>
        <c:crosses val="autoZero"/>
        <c:auto val="0"/>
        <c:lblAlgn val="ctr"/>
        <c:lblOffset val="100"/>
        <c:noMultiLvlLbl val="0"/>
      </c:catAx>
      <c:valAx>
        <c:axId val="642931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9331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Avg Qunatity Sold: Baseline vs Promotion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'PivotTables &amp; Charts'!$B$224</c:f>
              <c:strCache>
                <c:ptCount val="1"/>
                <c:pt idx="0">
                  <c:v>Baseline</c:v>
                </c:pt>
              </c:strCache>
            </c:strRef>
          </c:tx>
          <c:spPr>
            <a:solidFill>
              <a:schemeClr val="accent1"/>
            </a:solidFill>
            <a:ln>
              <a:noFill/>
            </a:ln>
            <a:effectLst/>
          </c:spPr>
          <c:invertIfNegative val="0"/>
          <c:cat>
            <c:strRef>
              <c:f>'PivotTables &amp; Charts'!$A$225:$A$227</c:f>
              <c:strCache>
                <c:ptCount val="3"/>
                <c:pt idx="0">
                  <c:v>February 2014</c:v>
                </c:pt>
                <c:pt idx="1">
                  <c:v>August 2014</c:v>
                </c:pt>
                <c:pt idx="2">
                  <c:v>June 2015</c:v>
                </c:pt>
              </c:strCache>
            </c:strRef>
          </c:cat>
          <c:val>
            <c:numRef>
              <c:f>'PivotTables &amp; Charts'!$B$225:$B$227</c:f>
              <c:numCache>
                <c:formatCode>General</c:formatCode>
                <c:ptCount val="3"/>
                <c:pt idx="0">
                  <c:v>5216.3500000000004</c:v>
                </c:pt>
                <c:pt idx="1">
                  <c:v>9254.84</c:v>
                </c:pt>
                <c:pt idx="2">
                  <c:v>2558.44</c:v>
                </c:pt>
              </c:numCache>
            </c:numRef>
          </c:val>
          <c:extLst>
            <c:ext xmlns:c16="http://schemas.microsoft.com/office/drawing/2014/chart" uri="{C3380CC4-5D6E-409C-BE32-E72D297353CC}">
              <c16:uniqueId val="{00000000-A598-447A-B43D-B477F133DD2A}"/>
            </c:ext>
          </c:extLst>
        </c:ser>
        <c:ser>
          <c:idx val="1"/>
          <c:order val="1"/>
          <c:tx>
            <c:strRef>
              <c:f>'PivotTables &amp; Charts'!$C$224</c:f>
              <c:strCache>
                <c:ptCount val="1"/>
                <c:pt idx="0">
                  <c:v>Promotion</c:v>
                </c:pt>
              </c:strCache>
            </c:strRef>
          </c:tx>
          <c:spPr>
            <a:solidFill>
              <a:schemeClr val="accent2"/>
            </a:solidFill>
            <a:ln>
              <a:noFill/>
            </a:ln>
            <a:effectLst/>
          </c:spPr>
          <c:invertIfNegative val="0"/>
          <c:cat>
            <c:strRef>
              <c:f>'PivotTables &amp; Charts'!$A$225:$A$227</c:f>
              <c:strCache>
                <c:ptCount val="3"/>
                <c:pt idx="0">
                  <c:v>February 2014</c:v>
                </c:pt>
                <c:pt idx="1">
                  <c:v>August 2014</c:v>
                </c:pt>
                <c:pt idx="2">
                  <c:v>June 2015</c:v>
                </c:pt>
              </c:strCache>
            </c:strRef>
          </c:cat>
          <c:val>
            <c:numRef>
              <c:f>'PivotTables &amp; Charts'!$C$225:$C$227</c:f>
              <c:numCache>
                <c:formatCode>General</c:formatCode>
                <c:ptCount val="3"/>
                <c:pt idx="0">
                  <c:v>9213.5</c:v>
                </c:pt>
                <c:pt idx="1">
                  <c:v>13200.17</c:v>
                </c:pt>
                <c:pt idx="2">
                  <c:v>5833.29</c:v>
                </c:pt>
              </c:numCache>
            </c:numRef>
          </c:val>
          <c:extLst>
            <c:ext xmlns:c16="http://schemas.microsoft.com/office/drawing/2014/chart" uri="{C3380CC4-5D6E-409C-BE32-E72D297353CC}">
              <c16:uniqueId val="{00000001-A598-447A-B43D-B477F133DD2A}"/>
            </c:ext>
          </c:extLst>
        </c:ser>
        <c:dLbls>
          <c:showLegendKey val="0"/>
          <c:showVal val="0"/>
          <c:showCatName val="0"/>
          <c:showSerName val="0"/>
          <c:showPercent val="0"/>
          <c:showBubbleSize val="0"/>
        </c:dLbls>
        <c:gapWidth val="219"/>
        <c:overlap val="-27"/>
        <c:axId val="716830992"/>
        <c:axId val="716823920"/>
      </c:barChart>
      <c:catAx>
        <c:axId val="716830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823920"/>
        <c:crosses val="autoZero"/>
        <c:auto val="1"/>
        <c:lblAlgn val="ctr"/>
        <c:lblOffset val="100"/>
        <c:noMultiLvlLbl val="0"/>
      </c:catAx>
      <c:valAx>
        <c:axId val="716823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8309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[Sales_Final_Code__excel file.xlsx]PivotTables &amp; Charts!PivotTable5</c:name>
    <c:fmtId val="4"/>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Total Monthly</a:t>
            </a:r>
            <a:r>
              <a:rPr lang="en-US" b="1" baseline="0">
                <a:solidFill>
                  <a:schemeClr val="bg1"/>
                </a:solidFill>
              </a:rPr>
              <a:t> Sales Over the Years</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 &amp; Charts'!$B$7</c:f>
              <c:strCache>
                <c:ptCount val="1"/>
                <c:pt idx="0">
                  <c:v>Total</c:v>
                </c:pt>
              </c:strCache>
            </c:strRef>
          </c:tx>
          <c:spPr>
            <a:ln w="28575" cap="rnd">
              <a:solidFill>
                <a:schemeClr val="accent6"/>
              </a:solidFill>
              <a:round/>
            </a:ln>
            <a:effectLst/>
          </c:spPr>
          <c:marker>
            <c:symbol val="none"/>
          </c:marker>
          <c:cat>
            <c:multiLvlStrRef>
              <c:f>'PivotTables &amp; Charts'!$A$8:$A$48</c:f>
              <c:multiLvlStrCache>
                <c:ptCount val="36"/>
                <c:lvl>
                  <c:pt idx="0">
                    <c:v>December</c:v>
                  </c:pt>
                  <c:pt idx="1">
                    <c:v>January</c:v>
                  </c:pt>
                  <c:pt idx="2">
                    <c:v>February</c:v>
                  </c:pt>
                  <c:pt idx="3">
                    <c:v>March</c:v>
                  </c:pt>
                  <c:pt idx="4">
                    <c:v>April</c:v>
                  </c:pt>
                  <c:pt idx="5">
                    <c:v>May</c:v>
                  </c:pt>
                  <c:pt idx="6">
                    <c:v>June</c:v>
                  </c:pt>
                  <c:pt idx="7">
                    <c:v>July</c:v>
                  </c:pt>
                  <c:pt idx="8">
                    <c:v>August</c:v>
                  </c:pt>
                  <c:pt idx="9">
                    <c:v>September</c:v>
                  </c:pt>
                  <c:pt idx="10">
                    <c:v>October</c:v>
                  </c:pt>
                  <c:pt idx="11">
                    <c:v>November</c:v>
                  </c:pt>
                  <c:pt idx="12">
                    <c:v>December</c:v>
                  </c:pt>
                  <c:pt idx="13">
                    <c:v>January</c:v>
                  </c:pt>
                  <c:pt idx="14">
                    <c:v>February</c:v>
                  </c:pt>
                  <c:pt idx="15">
                    <c:v>March</c:v>
                  </c:pt>
                  <c:pt idx="16">
                    <c:v>April</c:v>
                  </c:pt>
                  <c:pt idx="17">
                    <c:v>May</c:v>
                  </c:pt>
                  <c:pt idx="18">
                    <c:v>June</c:v>
                  </c:pt>
                  <c:pt idx="19">
                    <c:v>July</c:v>
                  </c:pt>
                  <c:pt idx="20">
                    <c:v>August</c:v>
                  </c:pt>
                  <c:pt idx="21">
                    <c:v>September</c:v>
                  </c:pt>
                  <c:pt idx="22">
                    <c:v>October</c:v>
                  </c:pt>
                  <c:pt idx="23">
                    <c:v>November</c:v>
                  </c:pt>
                  <c:pt idx="24">
                    <c:v>December</c:v>
                  </c:pt>
                  <c:pt idx="25">
                    <c:v>January</c:v>
                  </c:pt>
                  <c:pt idx="26">
                    <c:v>February</c:v>
                  </c:pt>
                  <c:pt idx="27">
                    <c:v>March</c:v>
                  </c:pt>
                  <c:pt idx="28">
                    <c:v>April</c:v>
                  </c:pt>
                  <c:pt idx="29">
                    <c:v>May</c:v>
                  </c:pt>
                  <c:pt idx="30">
                    <c:v>June</c:v>
                  </c:pt>
                  <c:pt idx="31">
                    <c:v>July</c:v>
                  </c:pt>
                  <c:pt idx="32">
                    <c:v>August</c:v>
                  </c:pt>
                  <c:pt idx="33">
                    <c:v>September</c:v>
                  </c:pt>
                  <c:pt idx="34">
                    <c:v>October</c:v>
                  </c:pt>
                  <c:pt idx="35">
                    <c:v>November</c:v>
                  </c:pt>
                </c:lvl>
                <c:lvl>
                  <c:pt idx="0">
                    <c:v>2013</c:v>
                  </c:pt>
                  <c:pt idx="1">
                    <c:v>2014</c:v>
                  </c:pt>
                  <c:pt idx="13">
                    <c:v>2015</c:v>
                  </c:pt>
                  <c:pt idx="25">
                    <c:v>2016</c:v>
                  </c:pt>
                </c:lvl>
              </c:multiLvlStrCache>
            </c:multiLvlStrRef>
          </c:cat>
          <c:val>
            <c:numRef>
              <c:f>'PivotTables &amp; Charts'!$B$8:$B$48</c:f>
              <c:numCache>
                <c:formatCode>General</c:formatCode>
                <c:ptCount val="36"/>
                <c:pt idx="0">
                  <c:v>524283</c:v>
                </c:pt>
                <c:pt idx="1">
                  <c:v>4008177</c:v>
                </c:pt>
                <c:pt idx="2">
                  <c:v>5780490</c:v>
                </c:pt>
                <c:pt idx="3">
                  <c:v>8279517</c:v>
                </c:pt>
                <c:pt idx="4">
                  <c:v>6435744</c:v>
                </c:pt>
                <c:pt idx="5">
                  <c:v>7694907</c:v>
                </c:pt>
                <c:pt idx="6">
                  <c:v>6456946</c:v>
                </c:pt>
                <c:pt idx="7">
                  <c:v>4933711</c:v>
                </c:pt>
                <c:pt idx="8">
                  <c:v>10010378</c:v>
                </c:pt>
                <c:pt idx="9">
                  <c:v>7643452</c:v>
                </c:pt>
                <c:pt idx="10">
                  <c:v>5924685</c:v>
                </c:pt>
                <c:pt idx="11">
                  <c:v>2631353</c:v>
                </c:pt>
                <c:pt idx="12">
                  <c:v>5615619</c:v>
                </c:pt>
                <c:pt idx="13">
                  <c:v>3696189</c:v>
                </c:pt>
                <c:pt idx="14">
                  <c:v>4901504</c:v>
                </c:pt>
                <c:pt idx="15">
                  <c:v>5269354</c:v>
                </c:pt>
                <c:pt idx="16">
                  <c:v>5963992</c:v>
                </c:pt>
                <c:pt idx="17">
                  <c:v>8384366</c:v>
                </c:pt>
                <c:pt idx="18">
                  <c:v>5332109</c:v>
                </c:pt>
                <c:pt idx="19">
                  <c:v>3677694</c:v>
                </c:pt>
                <c:pt idx="20">
                  <c:v>3934668</c:v>
                </c:pt>
                <c:pt idx="21">
                  <c:v>4669902</c:v>
                </c:pt>
                <c:pt idx="22">
                  <c:v>4828973</c:v>
                </c:pt>
                <c:pt idx="23">
                  <c:v>6538150</c:v>
                </c:pt>
                <c:pt idx="24">
                  <c:v>6820690</c:v>
                </c:pt>
                <c:pt idx="25">
                  <c:v>5403089</c:v>
                </c:pt>
                <c:pt idx="26">
                  <c:v>4891882</c:v>
                </c:pt>
                <c:pt idx="27">
                  <c:v>2951856</c:v>
                </c:pt>
                <c:pt idx="28">
                  <c:v>6656879</c:v>
                </c:pt>
                <c:pt idx="29">
                  <c:v>5170232</c:v>
                </c:pt>
                <c:pt idx="30">
                  <c:v>6771135</c:v>
                </c:pt>
                <c:pt idx="31">
                  <c:v>3324827</c:v>
                </c:pt>
                <c:pt idx="32">
                  <c:v>4343329</c:v>
                </c:pt>
                <c:pt idx="33">
                  <c:v>3259542</c:v>
                </c:pt>
                <c:pt idx="34">
                  <c:v>2329171</c:v>
                </c:pt>
                <c:pt idx="35">
                  <c:v>1851029</c:v>
                </c:pt>
              </c:numCache>
            </c:numRef>
          </c:val>
          <c:smooth val="0"/>
          <c:extLst>
            <c:ext xmlns:c16="http://schemas.microsoft.com/office/drawing/2014/chart" uri="{C3380CC4-5D6E-409C-BE32-E72D297353CC}">
              <c16:uniqueId val="{00000000-0D39-4051-960C-40F003C0C8D9}"/>
            </c:ext>
          </c:extLst>
        </c:ser>
        <c:dLbls>
          <c:showLegendKey val="0"/>
          <c:showVal val="0"/>
          <c:showCatName val="0"/>
          <c:showSerName val="0"/>
          <c:showPercent val="0"/>
          <c:showBubbleSize val="0"/>
        </c:dLbls>
        <c:smooth val="0"/>
        <c:axId val="300316528"/>
        <c:axId val="300317360"/>
      </c:lineChart>
      <c:catAx>
        <c:axId val="300316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300317360"/>
        <c:crosses val="autoZero"/>
        <c:auto val="1"/>
        <c:lblAlgn val="ctr"/>
        <c:lblOffset val="100"/>
        <c:noMultiLvlLbl val="0"/>
      </c:catAx>
      <c:valAx>
        <c:axId val="3003173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crossAx val="3003165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[Sales_Final_Code__excel file.xlsx]PivotTables &amp; Charts!PivotTable7</c:name>
    <c:fmtId val="4"/>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Total Sales by Day of Week</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 &amp; Charts'!$B$51</c:f>
              <c:strCache>
                <c:ptCount val="1"/>
                <c:pt idx="0">
                  <c:v>Total</c:v>
                </c:pt>
              </c:strCache>
            </c:strRef>
          </c:tx>
          <c:spPr>
            <a:solidFill>
              <a:schemeClr val="bg2">
                <a:lumMod val="90000"/>
              </a:schemeClr>
            </a:solidFill>
            <a:ln>
              <a:noFill/>
            </a:ln>
            <a:effectLst/>
          </c:spPr>
          <c:invertIfNegative val="0"/>
          <c:cat>
            <c:strRef>
              <c:f>'PivotTables &amp; Charts'!$A$52:$A$59</c:f>
              <c:strCache>
                <c:ptCount val="7"/>
                <c:pt idx="0">
                  <c:v>Mon</c:v>
                </c:pt>
                <c:pt idx="1">
                  <c:v>Tue</c:v>
                </c:pt>
                <c:pt idx="2">
                  <c:v>Wed</c:v>
                </c:pt>
                <c:pt idx="3">
                  <c:v>Thu</c:v>
                </c:pt>
                <c:pt idx="4">
                  <c:v>Fri</c:v>
                </c:pt>
                <c:pt idx="5">
                  <c:v>Sat</c:v>
                </c:pt>
                <c:pt idx="6">
                  <c:v>Sun</c:v>
                </c:pt>
              </c:strCache>
            </c:strRef>
          </c:cat>
          <c:val>
            <c:numRef>
              <c:f>'PivotTables &amp; Charts'!$B$52:$B$59</c:f>
              <c:numCache>
                <c:formatCode>General</c:formatCode>
                <c:ptCount val="7"/>
                <c:pt idx="0">
                  <c:v>594954</c:v>
                </c:pt>
                <c:pt idx="1">
                  <c:v>469470</c:v>
                </c:pt>
                <c:pt idx="2">
                  <c:v>594438</c:v>
                </c:pt>
                <c:pt idx="3">
                  <c:v>715032</c:v>
                </c:pt>
                <c:pt idx="4">
                  <c:v>661876</c:v>
                </c:pt>
                <c:pt idx="5">
                  <c:v>846678</c:v>
                </c:pt>
                <c:pt idx="6">
                  <c:v>478902</c:v>
                </c:pt>
              </c:numCache>
            </c:numRef>
          </c:val>
          <c:extLst>
            <c:ext xmlns:c16="http://schemas.microsoft.com/office/drawing/2014/chart" uri="{C3380CC4-5D6E-409C-BE32-E72D297353CC}">
              <c16:uniqueId val="{00000000-5329-49E2-824B-706327327255}"/>
            </c:ext>
          </c:extLst>
        </c:ser>
        <c:dLbls>
          <c:showLegendKey val="0"/>
          <c:showVal val="0"/>
          <c:showCatName val="0"/>
          <c:showSerName val="0"/>
          <c:showPercent val="0"/>
          <c:showBubbleSize val="0"/>
        </c:dLbls>
        <c:gapWidth val="219"/>
        <c:overlap val="-27"/>
        <c:axId val="290504416"/>
        <c:axId val="290501920"/>
      </c:barChart>
      <c:catAx>
        <c:axId val="290504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290501920"/>
        <c:crosses val="autoZero"/>
        <c:auto val="1"/>
        <c:lblAlgn val="ctr"/>
        <c:lblOffset val="100"/>
        <c:noMultiLvlLbl val="0"/>
      </c:catAx>
      <c:valAx>
        <c:axId val="2905019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crossAx val="290504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[Sales_Final_Code__excel file.xlsx]PivotTables &amp; Charts!PivotTable8</c:name>
    <c:fmtId val="11"/>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Top 10 Sales</a:t>
            </a:r>
            <a:r>
              <a:rPr lang="en-US" b="1" baseline="0">
                <a:solidFill>
                  <a:schemeClr val="bg1"/>
                </a:solidFill>
              </a:rPr>
              <a:t> Days</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 &amp; Charts'!$B$63</c:f>
              <c:strCache>
                <c:ptCount val="1"/>
                <c:pt idx="0">
                  <c:v>Total</c:v>
                </c:pt>
              </c:strCache>
            </c:strRef>
          </c:tx>
          <c:spPr>
            <a:solidFill>
              <a:schemeClr val="accent6">
                <a:lumMod val="40000"/>
                <a:lumOff val="60000"/>
              </a:schemeClr>
            </a:solidFill>
            <a:ln>
              <a:noFill/>
            </a:ln>
            <a:effectLst/>
          </c:spPr>
          <c:invertIfNegative val="0"/>
          <c:cat>
            <c:strRef>
              <c:f>'PivotTables &amp; Charts'!$A$64:$A$74</c:f>
              <c:strCache>
                <c:ptCount val="10"/>
                <c:pt idx="0">
                  <c:v>2014-05-31</c:v>
                </c:pt>
                <c:pt idx="1">
                  <c:v>2014-08-01</c:v>
                </c:pt>
                <c:pt idx="2">
                  <c:v>2014-04-17</c:v>
                </c:pt>
                <c:pt idx="3">
                  <c:v>2014-09-27</c:v>
                </c:pt>
                <c:pt idx="4">
                  <c:v>2014-08-02</c:v>
                </c:pt>
                <c:pt idx="5">
                  <c:v>2014-10-04</c:v>
                </c:pt>
                <c:pt idx="6">
                  <c:v>2014-02-28</c:v>
                </c:pt>
                <c:pt idx="7">
                  <c:v>2015-04-02</c:v>
                </c:pt>
                <c:pt idx="8">
                  <c:v>2014-08-30</c:v>
                </c:pt>
                <c:pt idx="9">
                  <c:v>2014-03-01</c:v>
                </c:pt>
              </c:strCache>
            </c:strRef>
          </c:cat>
          <c:val>
            <c:numRef>
              <c:f>'PivotTables &amp; Charts'!$B$64:$B$74</c:f>
              <c:numCache>
                <c:formatCode>General</c:formatCode>
                <c:ptCount val="10"/>
                <c:pt idx="0">
                  <c:v>603749</c:v>
                </c:pt>
                <c:pt idx="1">
                  <c:v>611895</c:v>
                </c:pt>
                <c:pt idx="2">
                  <c:v>612236</c:v>
                </c:pt>
                <c:pt idx="3">
                  <c:v>617019</c:v>
                </c:pt>
                <c:pt idx="4">
                  <c:v>628685</c:v>
                </c:pt>
                <c:pt idx="5">
                  <c:v>656246</c:v>
                </c:pt>
                <c:pt idx="6">
                  <c:v>661876</c:v>
                </c:pt>
                <c:pt idx="7">
                  <c:v>715032</c:v>
                </c:pt>
                <c:pt idx="8">
                  <c:v>717097</c:v>
                </c:pt>
                <c:pt idx="9">
                  <c:v>846678</c:v>
                </c:pt>
              </c:numCache>
            </c:numRef>
          </c:val>
          <c:extLst>
            <c:ext xmlns:c16="http://schemas.microsoft.com/office/drawing/2014/chart" uri="{C3380CC4-5D6E-409C-BE32-E72D297353CC}">
              <c16:uniqueId val="{00000000-7A14-44B2-B7D3-3E399B28E496}"/>
            </c:ext>
          </c:extLst>
        </c:ser>
        <c:dLbls>
          <c:showLegendKey val="0"/>
          <c:showVal val="0"/>
          <c:showCatName val="0"/>
          <c:showSerName val="0"/>
          <c:showPercent val="0"/>
          <c:showBubbleSize val="0"/>
        </c:dLbls>
        <c:gapWidth val="182"/>
        <c:axId val="447888976"/>
        <c:axId val="447873168"/>
      </c:barChart>
      <c:catAx>
        <c:axId val="447888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447873168"/>
        <c:crosses val="autoZero"/>
        <c:auto val="1"/>
        <c:lblAlgn val="ctr"/>
        <c:lblOffset val="100"/>
        <c:noMultiLvlLbl val="0"/>
      </c:catAx>
      <c:valAx>
        <c:axId val="4478731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4478889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[Sales_Final_Code__excel file.xlsx]PivotTables &amp; Charts!PivotTable9</c:name>
    <c:fmtId val="5"/>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Average Unit Sales</a:t>
            </a:r>
            <a:r>
              <a:rPr lang="en-US" b="1" baseline="0">
                <a:solidFill>
                  <a:schemeClr val="bg1"/>
                </a:solidFill>
              </a:rPr>
              <a:t> Price by Month Over the Years</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913564460740643E-2"/>
          <c:y val="0.13384377910828524"/>
          <c:w val="0.93709880140037272"/>
          <c:h val="0.58232584338092475"/>
        </c:manualLayout>
      </c:layout>
      <c:lineChart>
        <c:grouping val="standard"/>
        <c:varyColors val="0"/>
        <c:ser>
          <c:idx val="0"/>
          <c:order val="0"/>
          <c:tx>
            <c:strRef>
              <c:f>'PivotTables &amp; Charts'!$B$78</c:f>
              <c:strCache>
                <c:ptCount val="1"/>
                <c:pt idx="0">
                  <c:v>Total</c:v>
                </c:pt>
              </c:strCache>
            </c:strRef>
          </c:tx>
          <c:spPr>
            <a:ln w="28575" cap="rnd">
              <a:solidFill>
                <a:schemeClr val="accent3"/>
              </a:solidFill>
              <a:round/>
            </a:ln>
            <a:effectLst/>
          </c:spPr>
          <c:marker>
            <c:symbol val="none"/>
          </c:marker>
          <c:cat>
            <c:multiLvlStrRef>
              <c:f>'PivotTables &amp; Charts'!$A$79:$A$119</c:f>
              <c:multiLvlStrCache>
                <c:ptCount val="36"/>
                <c:lvl>
                  <c:pt idx="0">
                    <c:v>December</c:v>
                  </c:pt>
                  <c:pt idx="1">
                    <c:v>January</c:v>
                  </c:pt>
                  <c:pt idx="2">
                    <c:v>February</c:v>
                  </c:pt>
                  <c:pt idx="3">
                    <c:v>March</c:v>
                  </c:pt>
                  <c:pt idx="4">
                    <c:v>April</c:v>
                  </c:pt>
                  <c:pt idx="5">
                    <c:v>May</c:v>
                  </c:pt>
                  <c:pt idx="6">
                    <c:v>June</c:v>
                  </c:pt>
                  <c:pt idx="7">
                    <c:v>July</c:v>
                  </c:pt>
                  <c:pt idx="8">
                    <c:v>August</c:v>
                  </c:pt>
                  <c:pt idx="9">
                    <c:v>September</c:v>
                  </c:pt>
                  <c:pt idx="10">
                    <c:v>October</c:v>
                  </c:pt>
                  <c:pt idx="11">
                    <c:v>November</c:v>
                  </c:pt>
                  <c:pt idx="12">
                    <c:v>December</c:v>
                  </c:pt>
                  <c:pt idx="13">
                    <c:v>January</c:v>
                  </c:pt>
                  <c:pt idx="14">
                    <c:v>February</c:v>
                  </c:pt>
                  <c:pt idx="15">
                    <c:v>March</c:v>
                  </c:pt>
                  <c:pt idx="16">
                    <c:v>April</c:v>
                  </c:pt>
                  <c:pt idx="17">
                    <c:v>May</c:v>
                  </c:pt>
                  <c:pt idx="18">
                    <c:v>June</c:v>
                  </c:pt>
                  <c:pt idx="19">
                    <c:v>July</c:v>
                  </c:pt>
                  <c:pt idx="20">
                    <c:v>August</c:v>
                  </c:pt>
                  <c:pt idx="21">
                    <c:v>September</c:v>
                  </c:pt>
                  <c:pt idx="22">
                    <c:v>October</c:v>
                  </c:pt>
                  <c:pt idx="23">
                    <c:v>November</c:v>
                  </c:pt>
                  <c:pt idx="24">
                    <c:v>December</c:v>
                  </c:pt>
                  <c:pt idx="25">
                    <c:v>January</c:v>
                  </c:pt>
                  <c:pt idx="26">
                    <c:v>February</c:v>
                  </c:pt>
                  <c:pt idx="27">
                    <c:v>March</c:v>
                  </c:pt>
                  <c:pt idx="28">
                    <c:v>April</c:v>
                  </c:pt>
                  <c:pt idx="29">
                    <c:v>May</c:v>
                  </c:pt>
                  <c:pt idx="30">
                    <c:v>June</c:v>
                  </c:pt>
                  <c:pt idx="31">
                    <c:v>July</c:v>
                  </c:pt>
                  <c:pt idx="32">
                    <c:v>August</c:v>
                  </c:pt>
                  <c:pt idx="33">
                    <c:v>September</c:v>
                  </c:pt>
                  <c:pt idx="34">
                    <c:v>October</c:v>
                  </c:pt>
                  <c:pt idx="35">
                    <c:v>November</c:v>
                  </c:pt>
                </c:lvl>
                <c:lvl>
                  <c:pt idx="0">
                    <c:v>2013</c:v>
                  </c:pt>
                  <c:pt idx="1">
                    <c:v>2014</c:v>
                  </c:pt>
                  <c:pt idx="13">
                    <c:v>2015</c:v>
                  </c:pt>
                  <c:pt idx="25">
                    <c:v>2016</c:v>
                  </c:pt>
                </c:lvl>
              </c:multiLvlStrCache>
            </c:multiLvlStrRef>
          </c:cat>
          <c:val>
            <c:numRef>
              <c:f>'PivotTables &amp; Charts'!$B$79:$B$119</c:f>
              <c:numCache>
                <c:formatCode>General</c:formatCode>
                <c:ptCount val="36"/>
                <c:pt idx="0">
                  <c:v>32.5</c:v>
                </c:pt>
                <c:pt idx="1">
                  <c:v>33.548387096774192</c:v>
                </c:pt>
                <c:pt idx="2">
                  <c:v>32.464285714285715</c:v>
                </c:pt>
                <c:pt idx="3">
                  <c:v>33.322580645161288</c:v>
                </c:pt>
                <c:pt idx="4">
                  <c:v>33.93333333333333</c:v>
                </c:pt>
                <c:pt idx="5">
                  <c:v>32.967741935483872</c:v>
                </c:pt>
                <c:pt idx="6">
                  <c:v>32.866666666666667</c:v>
                </c:pt>
                <c:pt idx="7">
                  <c:v>34.032258064516128</c:v>
                </c:pt>
                <c:pt idx="8">
                  <c:v>32.225806451612904</c:v>
                </c:pt>
                <c:pt idx="9">
                  <c:v>33.266666666666666</c:v>
                </c:pt>
                <c:pt idx="10">
                  <c:v>36.032258064516128</c:v>
                </c:pt>
                <c:pt idx="11">
                  <c:v>39.466666666666669</c:v>
                </c:pt>
                <c:pt idx="12">
                  <c:v>39.70967741935484</c:v>
                </c:pt>
                <c:pt idx="13">
                  <c:v>40.612903225806448</c:v>
                </c:pt>
                <c:pt idx="14">
                  <c:v>39.035714285714285</c:v>
                </c:pt>
                <c:pt idx="15">
                  <c:v>39.548387096774192</c:v>
                </c:pt>
                <c:pt idx="16">
                  <c:v>40.133333333333333</c:v>
                </c:pt>
                <c:pt idx="17">
                  <c:v>38.354838709677416</c:v>
                </c:pt>
                <c:pt idx="18">
                  <c:v>40.133333333333333</c:v>
                </c:pt>
                <c:pt idx="19">
                  <c:v>38.838709677419352</c:v>
                </c:pt>
                <c:pt idx="20">
                  <c:v>37.516129032258064</c:v>
                </c:pt>
                <c:pt idx="21">
                  <c:v>36.266666666666666</c:v>
                </c:pt>
                <c:pt idx="22">
                  <c:v>37.12903225806452</c:v>
                </c:pt>
                <c:pt idx="23">
                  <c:v>35.533333333333331</c:v>
                </c:pt>
                <c:pt idx="24">
                  <c:v>36.806451612903224</c:v>
                </c:pt>
                <c:pt idx="25">
                  <c:v>37.41935483870968</c:v>
                </c:pt>
                <c:pt idx="26">
                  <c:v>38.413793103448278</c:v>
                </c:pt>
                <c:pt idx="27">
                  <c:v>40.322580645161288</c:v>
                </c:pt>
                <c:pt idx="28">
                  <c:v>35.366666666666667</c:v>
                </c:pt>
                <c:pt idx="29">
                  <c:v>37.903225806451616</c:v>
                </c:pt>
                <c:pt idx="30">
                  <c:v>34.6</c:v>
                </c:pt>
                <c:pt idx="31">
                  <c:v>40.258064516129032</c:v>
                </c:pt>
                <c:pt idx="32">
                  <c:v>36.87096774193548</c:v>
                </c:pt>
                <c:pt idx="33">
                  <c:v>38.633333333333333</c:v>
                </c:pt>
                <c:pt idx="34">
                  <c:v>41.645161290322584</c:v>
                </c:pt>
                <c:pt idx="35">
                  <c:v>43.125</c:v>
                </c:pt>
              </c:numCache>
            </c:numRef>
          </c:val>
          <c:smooth val="0"/>
          <c:extLst>
            <c:ext xmlns:c16="http://schemas.microsoft.com/office/drawing/2014/chart" uri="{C3380CC4-5D6E-409C-BE32-E72D297353CC}">
              <c16:uniqueId val="{00000000-C435-4156-AC72-0D9C71241B38}"/>
            </c:ext>
          </c:extLst>
        </c:ser>
        <c:dLbls>
          <c:showLegendKey val="0"/>
          <c:showVal val="0"/>
          <c:showCatName val="0"/>
          <c:showSerName val="0"/>
          <c:showPercent val="0"/>
          <c:showBubbleSize val="0"/>
        </c:dLbls>
        <c:smooth val="0"/>
        <c:axId val="580350304"/>
        <c:axId val="580346144"/>
      </c:lineChart>
      <c:catAx>
        <c:axId val="580350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crossAx val="580346144"/>
        <c:crosses val="autoZero"/>
        <c:auto val="1"/>
        <c:lblAlgn val="ctr"/>
        <c:lblOffset val="100"/>
        <c:noMultiLvlLbl val="0"/>
      </c:catAx>
      <c:valAx>
        <c:axId val="5803461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5803503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[Sales_Final_Code__excel file.xlsx]PivotTables &amp; Charts!PivotTable17</c:name>
    <c:fmtId val="11"/>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Montly Gross Profit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 &amp; Charts'!$B$125</c:f>
              <c:strCache>
                <c:ptCount val="1"/>
                <c:pt idx="0">
                  <c:v>Total</c:v>
                </c:pt>
              </c:strCache>
            </c:strRef>
          </c:tx>
          <c:spPr>
            <a:solidFill>
              <a:schemeClr val="tx2">
                <a:lumMod val="20000"/>
                <a:lumOff val="80000"/>
              </a:schemeClr>
            </a:solidFill>
            <a:ln>
              <a:noFill/>
            </a:ln>
            <a:effectLst/>
          </c:spPr>
          <c:invertIfNegative val="0"/>
          <c:cat>
            <c:multiLvlStrRef>
              <c:f>'PivotTables &amp; Charts'!$A$126:$A$166</c:f>
              <c:multiLvlStrCache>
                <c:ptCount val="36"/>
                <c:lvl>
                  <c:pt idx="0">
                    <c:v>December</c:v>
                  </c:pt>
                  <c:pt idx="1">
                    <c:v>January</c:v>
                  </c:pt>
                  <c:pt idx="2">
                    <c:v>February</c:v>
                  </c:pt>
                  <c:pt idx="3">
                    <c:v>March</c:v>
                  </c:pt>
                  <c:pt idx="4">
                    <c:v>April</c:v>
                  </c:pt>
                  <c:pt idx="5">
                    <c:v>May</c:v>
                  </c:pt>
                  <c:pt idx="6">
                    <c:v>June</c:v>
                  </c:pt>
                  <c:pt idx="7">
                    <c:v>July</c:v>
                  </c:pt>
                  <c:pt idx="8">
                    <c:v>August</c:v>
                  </c:pt>
                  <c:pt idx="9">
                    <c:v>September</c:v>
                  </c:pt>
                  <c:pt idx="10">
                    <c:v>October</c:v>
                  </c:pt>
                  <c:pt idx="11">
                    <c:v>November</c:v>
                  </c:pt>
                  <c:pt idx="12">
                    <c:v>December</c:v>
                  </c:pt>
                  <c:pt idx="13">
                    <c:v>January</c:v>
                  </c:pt>
                  <c:pt idx="14">
                    <c:v>February</c:v>
                  </c:pt>
                  <c:pt idx="15">
                    <c:v>March</c:v>
                  </c:pt>
                  <c:pt idx="16">
                    <c:v>April</c:v>
                  </c:pt>
                  <c:pt idx="17">
                    <c:v>May</c:v>
                  </c:pt>
                  <c:pt idx="18">
                    <c:v>June</c:v>
                  </c:pt>
                  <c:pt idx="19">
                    <c:v>July</c:v>
                  </c:pt>
                  <c:pt idx="20">
                    <c:v>August</c:v>
                  </c:pt>
                  <c:pt idx="21">
                    <c:v>September</c:v>
                  </c:pt>
                  <c:pt idx="22">
                    <c:v>October</c:v>
                  </c:pt>
                  <c:pt idx="23">
                    <c:v>November</c:v>
                  </c:pt>
                  <c:pt idx="24">
                    <c:v>December</c:v>
                  </c:pt>
                  <c:pt idx="25">
                    <c:v>January</c:v>
                  </c:pt>
                  <c:pt idx="26">
                    <c:v>February</c:v>
                  </c:pt>
                  <c:pt idx="27">
                    <c:v>March</c:v>
                  </c:pt>
                  <c:pt idx="28">
                    <c:v>April</c:v>
                  </c:pt>
                  <c:pt idx="29">
                    <c:v>May</c:v>
                  </c:pt>
                  <c:pt idx="30">
                    <c:v>June</c:v>
                  </c:pt>
                  <c:pt idx="31">
                    <c:v>July</c:v>
                  </c:pt>
                  <c:pt idx="32">
                    <c:v>August</c:v>
                  </c:pt>
                  <c:pt idx="33">
                    <c:v>September</c:v>
                  </c:pt>
                  <c:pt idx="34">
                    <c:v>October</c:v>
                  </c:pt>
                  <c:pt idx="35">
                    <c:v>November</c:v>
                  </c:pt>
                </c:lvl>
                <c:lvl>
                  <c:pt idx="0">
                    <c:v>2013</c:v>
                  </c:pt>
                  <c:pt idx="1">
                    <c:v>2014</c:v>
                  </c:pt>
                  <c:pt idx="13">
                    <c:v>2015</c:v>
                  </c:pt>
                  <c:pt idx="25">
                    <c:v>2016</c:v>
                  </c:pt>
                </c:lvl>
              </c:multiLvlStrCache>
            </c:multiLvlStrRef>
          </c:cat>
          <c:val>
            <c:numRef>
              <c:f>'PivotTables &amp; Charts'!$B$126:$B$166</c:f>
              <c:numCache>
                <c:formatCode>General</c:formatCode>
                <c:ptCount val="36"/>
                <c:pt idx="0">
                  <c:v>-12783</c:v>
                </c:pt>
                <c:pt idx="1">
                  <c:v>12460</c:v>
                </c:pt>
                <c:pt idx="2">
                  <c:v>-132992</c:v>
                </c:pt>
                <c:pt idx="3">
                  <c:v>-136135</c:v>
                </c:pt>
                <c:pt idx="4">
                  <c:v>-43898</c:v>
                </c:pt>
                <c:pt idx="5">
                  <c:v>-322334</c:v>
                </c:pt>
                <c:pt idx="6">
                  <c:v>-188902</c:v>
                </c:pt>
                <c:pt idx="7">
                  <c:v>-71182</c:v>
                </c:pt>
                <c:pt idx="8">
                  <c:v>-514056</c:v>
                </c:pt>
                <c:pt idx="9">
                  <c:v>-550106</c:v>
                </c:pt>
                <c:pt idx="10">
                  <c:v>-113778</c:v>
                </c:pt>
                <c:pt idx="11">
                  <c:v>114228</c:v>
                </c:pt>
                <c:pt idx="12">
                  <c:v>-319176</c:v>
                </c:pt>
                <c:pt idx="13">
                  <c:v>-155067</c:v>
                </c:pt>
                <c:pt idx="14">
                  <c:v>-250252</c:v>
                </c:pt>
                <c:pt idx="15">
                  <c:v>-330275</c:v>
                </c:pt>
                <c:pt idx="16">
                  <c:v>-322679</c:v>
                </c:pt>
                <c:pt idx="17">
                  <c:v>-589336</c:v>
                </c:pt>
                <c:pt idx="18">
                  <c:v>-188818</c:v>
                </c:pt>
                <c:pt idx="19">
                  <c:v>-151496</c:v>
                </c:pt>
                <c:pt idx="20">
                  <c:v>-276260</c:v>
                </c:pt>
                <c:pt idx="21">
                  <c:v>-354595</c:v>
                </c:pt>
                <c:pt idx="22">
                  <c:v>-346520</c:v>
                </c:pt>
                <c:pt idx="23">
                  <c:v>-600685</c:v>
                </c:pt>
                <c:pt idx="24">
                  <c:v>-333630</c:v>
                </c:pt>
                <c:pt idx="25">
                  <c:v>-254255</c:v>
                </c:pt>
                <c:pt idx="26">
                  <c:v>2580</c:v>
                </c:pt>
                <c:pt idx="27">
                  <c:v>34051</c:v>
                </c:pt>
                <c:pt idx="28">
                  <c:v>-470852</c:v>
                </c:pt>
                <c:pt idx="29">
                  <c:v>-168164</c:v>
                </c:pt>
                <c:pt idx="30">
                  <c:v>-397216</c:v>
                </c:pt>
                <c:pt idx="31">
                  <c:v>56427</c:v>
                </c:pt>
                <c:pt idx="32">
                  <c:v>-136456</c:v>
                </c:pt>
                <c:pt idx="33">
                  <c:v>49344</c:v>
                </c:pt>
                <c:pt idx="34">
                  <c:v>219960</c:v>
                </c:pt>
                <c:pt idx="35">
                  <c:v>126557</c:v>
                </c:pt>
              </c:numCache>
            </c:numRef>
          </c:val>
          <c:extLst>
            <c:ext xmlns:c16="http://schemas.microsoft.com/office/drawing/2014/chart" uri="{C3380CC4-5D6E-409C-BE32-E72D297353CC}">
              <c16:uniqueId val="{00000000-BB1B-42A4-9343-193C644B9A52}"/>
            </c:ext>
          </c:extLst>
        </c:ser>
        <c:dLbls>
          <c:showLegendKey val="0"/>
          <c:showVal val="0"/>
          <c:showCatName val="0"/>
          <c:showSerName val="0"/>
          <c:showPercent val="0"/>
          <c:showBubbleSize val="0"/>
        </c:dLbls>
        <c:gapWidth val="219"/>
        <c:overlap val="-27"/>
        <c:axId val="722986768"/>
        <c:axId val="722990096"/>
      </c:barChart>
      <c:catAx>
        <c:axId val="722986768"/>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crossAx val="722990096"/>
        <c:crosses val="autoZero"/>
        <c:auto val="1"/>
        <c:lblAlgn val="ctr"/>
        <c:lblOffset val="100"/>
        <c:noMultiLvlLbl val="0"/>
      </c:catAx>
      <c:valAx>
        <c:axId val="7229900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crossAx val="722986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[Sales_Final_Code__excel file.xlsx]PivotTables &amp; Charts!PivotTable19</c:name>
    <c:fmtId val="5"/>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Gross</a:t>
            </a:r>
            <a:r>
              <a:rPr lang="en-US" b="1" baseline="0">
                <a:solidFill>
                  <a:schemeClr val="bg1"/>
                </a:solidFill>
              </a:rPr>
              <a:t> Profit % by Month</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 &amp; Charts'!$B$169</c:f>
              <c:strCache>
                <c:ptCount val="1"/>
                <c:pt idx="0">
                  <c:v>Total</c:v>
                </c:pt>
              </c:strCache>
            </c:strRef>
          </c:tx>
          <c:spPr>
            <a:ln w="28575" cap="rnd">
              <a:solidFill>
                <a:schemeClr val="accent3"/>
              </a:solidFill>
              <a:round/>
            </a:ln>
            <a:effectLst/>
          </c:spPr>
          <c:marker>
            <c:symbol val="none"/>
          </c:marker>
          <c:cat>
            <c:multiLvlStrRef>
              <c:f>'PivotTables &amp; Charts'!$A$170:$A$210</c:f>
              <c:multiLvlStrCache>
                <c:ptCount val="36"/>
                <c:lvl>
                  <c:pt idx="0">
                    <c:v>December</c:v>
                  </c:pt>
                  <c:pt idx="1">
                    <c:v>January</c:v>
                  </c:pt>
                  <c:pt idx="2">
                    <c:v>February</c:v>
                  </c:pt>
                  <c:pt idx="3">
                    <c:v>March</c:v>
                  </c:pt>
                  <c:pt idx="4">
                    <c:v>April</c:v>
                  </c:pt>
                  <c:pt idx="5">
                    <c:v>May</c:v>
                  </c:pt>
                  <c:pt idx="6">
                    <c:v>June</c:v>
                  </c:pt>
                  <c:pt idx="7">
                    <c:v>July</c:v>
                  </c:pt>
                  <c:pt idx="8">
                    <c:v>August</c:v>
                  </c:pt>
                  <c:pt idx="9">
                    <c:v>September</c:v>
                  </c:pt>
                  <c:pt idx="10">
                    <c:v>October</c:v>
                  </c:pt>
                  <c:pt idx="11">
                    <c:v>November</c:v>
                  </c:pt>
                  <c:pt idx="12">
                    <c:v>December</c:v>
                  </c:pt>
                  <c:pt idx="13">
                    <c:v>January</c:v>
                  </c:pt>
                  <c:pt idx="14">
                    <c:v>February</c:v>
                  </c:pt>
                  <c:pt idx="15">
                    <c:v>March</c:v>
                  </c:pt>
                  <c:pt idx="16">
                    <c:v>April</c:v>
                  </c:pt>
                  <c:pt idx="17">
                    <c:v>May</c:v>
                  </c:pt>
                  <c:pt idx="18">
                    <c:v>June</c:v>
                  </c:pt>
                  <c:pt idx="19">
                    <c:v>July</c:v>
                  </c:pt>
                  <c:pt idx="20">
                    <c:v>August</c:v>
                  </c:pt>
                  <c:pt idx="21">
                    <c:v>September</c:v>
                  </c:pt>
                  <c:pt idx="22">
                    <c:v>October</c:v>
                  </c:pt>
                  <c:pt idx="23">
                    <c:v>November</c:v>
                  </c:pt>
                  <c:pt idx="24">
                    <c:v>December</c:v>
                  </c:pt>
                  <c:pt idx="25">
                    <c:v>January</c:v>
                  </c:pt>
                  <c:pt idx="26">
                    <c:v>February</c:v>
                  </c:pt>
                  <c:pt idx="27">
                    <c:v>March</c:v>
                  </c:pt>
                  <c:pt idx="28">
                    <c:v>April</c:v>
                  </c:pt>
                  <c:pt idx="29">
                    <c:v>May</c:v>
                  </c:pt>
                  <c:pt idx="30">
                    <c:v>June</c:v>
                  </c:pt>
                  <c:pt idx="31">
                    <c:v>July</c:v>
                  </c:pt>
                  <c:pt idx="32">
                    <c:v>August</c:v>
                  </c:pt>
                  <c:pt idx="33">
                    <c:v>September</c:v>
                  </c:pt>
                  <c:pt idx="34">
                    <c:v>October</c:v>
                  </c:pt>
                  <c:pt idx="35">
                    <c:v>November</c:v>
                  </c:pt>
                </c:lvl>
                <c:lvl>
                  <c:pt idx="0">
                    <c:v>2013</c:v>
                  </c:pt>
                  <c:pt idx="1">
                    <c:v>2014</c:v>
                  </c:pt>
                  <c:pt idx="13">
                    <c:v>2015</c:v>
                  </c:pt>
                  <c:pt idx="25">
                    <c:v>2016</c:v>
                  </c:pt>
                </c:lvl>
              </c:multiLvlStrCache>
            </c:multiLvlStrRef>
          </c:cat>
          <c:val>
            <c:numRef>
              <c:f>'PivotTables &amp; Charts'!$B$170:$B$210</c:f>
              <c:numCache>
                <c:formatCode>General</c:formatCode>
                <c:ptCount val="36"/>
                <c:pt idx="0">
                  <c:v>-5</c:v>
                </c:pt>
                <c:pt idx="1">
                  <c:v>32</c:v>
                </c:pt>
                <c:pt idx="2">
                  <c:v>-42</c:v>
                </c:pt>
                <c:pt idx="3">
                  <c:v>-11</c:v>
                </c:pt>
                <c:pt idx="4">
                  <c:v>-4</c:v>
                </c:pt>
                <c:pt idx="5">
                  <c:v>-102</c:v>
                </c:pt>
                <c:pt idx="6">
                  <c:v>-54</c:v>
                </c:pt>
                <c:pt idx="7">
                  <c:v>16</c:v>
                </c:pt>
                <c:pt idx="8">
                  <c:v>-134</c:v>
                </c:pt>
                <c:pt idx="9">
                  <c:v>-115</c:v>
                </c:pt>
                <c:pt idx="10">
                  <c:v>43</c:v>
                </c:pt>
                <c:pt idx="11">
                  <c:v>179</c:v>
                </c:pt>
                <c:pt idx="12">
                  <c:v>-135</c:v>
                </c:pt>
                <c:pt idx="13">
                  <c:v>-102</c:v>
                </c:pt>
                <c:pt idx="14">
                  <c:v>-118</c:v>
                </c:pt>
                <c:pt idx="15">
                  <c:v>-116</c:v>
                </c:pt>
                <c:pt idx="16">
                  <c:v>-76</c:v>
                </c:pt>
                <c:pt idx="17">
                  <c:v>-214</c:v>
                </c:pt>
                <c:pt idx="18">
                  <c:v>-35</c:v>
                </c:pt>
                <c:pt idx="19">
                  <c:v>-108</c:v>
                </c:pt>
                <c:pt idx="20">
                  <c:v>-156</c:v>
                </c:pt>
                <c:pt idx="21">
                  <c:v>-80</c:v>
                </c:pt>
                <c:pt idx="22">
                  <c:v>-85</c:v>
                </c:pt>
                <c:pt idx="23">
                  <c:v>-240</c:v>
                </c:pt>
                <c:pt idx="24">
                  <c:v>-118</c:v>
                </c:pt>
                <c:pt idx="25">
                  <c:v>-45</c:v>
                </c:pt>
                <c:pt idx="26">
                  <c:v>105</c:v>
                </c:pt>
                <c:pt idx="27">
                  <c:v>69</c:v>
                </c:pt>
                <c:pt idx="28">
                  <c:v>-190</c:v>
                </c:pt>
                <c:pt idx="29">
                  <c:v>92</c:v>
                </c:pt>
                <c:pt idx="30">
                  <c:v>-136</c:v>
                </c:pt>
                <c:pt idx="31">
                  <c:v>302</c:v>
                </c:pt>
                <c:pt idx="32">
                  <c:v>28</c:v>
                </c:pt>
                <c:pt idx="33">
                  <c:v>197</c:v>
                </c:pt>
                <c:pt idx="34">
                  <c:v>309</c:v>
                </c:pt>
                <c:pt idx="35">
                  <c:v>112</c:v>
                </c:pt>
              </c:numCache>
            </c:numRef>
          </c:val>
          <c:smooth val="0"/>
          <c:extLst>
            <c:ext xmlns:c16="http://schemas.microsoft.com/office/drawing/2014/chart" uri="{C3380CC4-5D6E-409C-BE32-E72D297353CC}">
              <c16:uniqueId val="{00000000-D05C-4FCE-84BF-EBF88CD11D3B}"/>
            </c:ext>
          </c:extLst>
        </c:ser>
        <c:dLbls>
          <c:showLegendKey val="0"/>
          <c:showVal val="0"/>
          <c:showCatName val="0"/>
          <c:showSerName val="0"/>
          <c:showPercent val="0"/>
          <c:showBubbleSize val="0"/>
        </c:dLbls>
        <c:smooth val="0"/>
        <c:axId val="653827456"/>
        <c:axId val="653837024"/>
      </c:lineChart>
      <c:catAx>
        <c:axId val="653827456"/>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crossAx val="653837024"/>
        <c:crosses val="autoZero"/>
        <c:auto val="1"/>
        <c:lblAlgn val="ctr"/>
        <c:lblOffset val="100"/>
        <c:noMultiLvlLbl val="0"/>
      </c:catAx>
      <c:valAx>
        <c:axId val="6538370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crossAx val="6538274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ZA" b="1">
                <a:solidFill>
                  <a:schemeClr val="bg1"/>
                </a:solidFill>
              </a:rPr>
              <a:t>Avg Daily Sales: Baseline vs Promotion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lotArea>
      <c:layout>
        <c:manualLayout>
          <c:layoutTarget val="inner"/>
          <c:xMode val="edge"/>
          <c:yMode val="edge"/>
          <c:x val="0.10454445418641893"/>
          <c:y val="0.16347878740446148"/>
          <c:w val="0.89365811613801716"/>
          <c:h val="0.6036536178842532"/>
        </c:manualLayout>
      </c:layout>
      <c:barChart>
        <c:barDir val="col"/>
        <c:grouping val="clustered"/>
        <c:varyColors val="0"/>
        <c:ser>
          <c:idx val="0"/>
          <c:order val="0"/>
          <c:tx>
            <c:strRef>
              <c:f>'PivotTables &amp; Charts'!$B$214</c:f>
              <c:strCache>
                <c:ptCount val="1"/>
                <c:pt idx="0">
                  <c:v>Baseline</c:v>
                </c:pt>
              </c:strCache>
            </c:strRef>
          </c:tx>
          <c:spPr>
            <a:solidFill>
              <a:schemeClr val="tx2">
                <a:lumMod val="40000"/>
                <a:lumOff val="60000"/>
              </a:schemeClr>
            </a:solidFill>
            <a:ln>
              <a:noFill/>
            </a:ln>
            <a:effectLst/>
          </c:spPr>
          <c:invertIfNegative val="0"/>
          <c:cat>
            <c:strRef>
              <c:f>'PivotTables &amp; Charts'!$A$215:$A$217</c:f>
              <c:strCache>
                <c:ptCount val="3"/>
                <c:pt idx="0">
                  <c:v>February 2014</c:v>
                </c:pt>
                <c:pt idx="1">
                  <c:v>August 2014</c:v>
                </c:pt>
                <c:pt idx="2">
                  <c:v>June 2015</c:v>
                </c:pt>
              </c:strCache>
            </c:strRef>
          </c:cat>
          <c:val>
            <c:numRef>
              <c:f>'PivotTables &amp; Charts'!$B$215:$B$217</c:f>
              <c:numCache>
                <c:formatCode>General</c:formatCode>
                <c:ptCount val="3"/>
                <c:pt idx="0">
                  <c:v>171274</c:v>
                </c:pt>
                <c:pt idx="1">
                  <c:v>302620</c:v>
                </c:pt>
                <c:pt idx="2">
                  <c:v>107529</c:v>
                </c:pt>
              </c:numCache>
            </c:numRef>
          </c:val>
          <c:extLst>
            <c:ext xmlns:c16="http://schemas.microsoft.com/office/drawing/2014/chart" uri="{C3380CC4-5D6E-409C-BE32-E72D297353CC}">
              <c16:uniqueId val="{00000000-8662-42ED-B26F-6B16B79487A9}"/>
            </c:ext>
          </c:extLst>
        </c:ser>
        <c:ser>
          <c:idx val="1"/>
          <c:order val="1"/>
          <c:tx>
            <c:strRef>
              <c:f>'PivotTables &amp; Charts'!$C$214</c:f>
              <c:strCache>
                <c:ptCount val="1"/>
                <c:pt idx="0">
                  <c:v>Promotion</c:v>
                </c:pt>
              </c:strCache>
            </c:strRef>
          </c:tx>
          <c:spPr>
            <a:solidFill>
              <a:schemeClr val="accent6">
                <a:lumMod val="60000"/>
                <a:lumOff val="40000"/>
              </a:schemeClr>
            </a:solidFill>
            <a:ln>
              <a:noFill/>
            </a:ln>
            <a:effectLst/>
          </c:spPr>
          <c:invertIfNegative val="0"/>
          <c:cat>
            <c:strRef>
              <c:f>'PivotTables &amp; Charts'!$A$215:$A$217</c:f>
              <c:strCache>
                <c:ptCount val="3"/>
                <c:pt idx="0">
                  <c:v>February 2014</c:v>
                </c:pt>
                <c:pt idx="1">
                  <c:v>August 2014</c:v>
                </c:pt>
                <c:pt idx="2">
                  <c:v>June 2015</c:v>
                </c:pt>
              </c:strCache>
            </c:strRef>
          </c:cat>
          <c:val>
            <c:numRef>
              <c:f>'PivotTables &amp; Charts'!$C$215:$C$217</c:f>
              <c:numCache>
                <c:formatCode>General</c:formatCode>
                <c:ptCount val="3"/>
                <c:pt idx="0">
                  <c:v>294374</c:v>
                </c:pt>
                <c:pt idx="1">
                  <c:v>407480</c:v>
                </c:pt>
                <c:pt idx="2">
                  <c:v>220422</c:v>
                </c:pt>
              </c:numCache>
            </c:numRef>
          </c:val>
          <c:extLst>
            <c:ext xmlns:c16="http://schemas.microsoft.com/office/drawing/2014/chart" uri="{C3380CC4-5D6E-409C-BE32-E72D297353CC}">
              <c16:uniqueId val="{00000001-8662-42ED-B26F-6B16B79487A9}"/>
            </c:ext>
          </c:extLst>
        </c:ser>
        <c:dLbls>
          <c:showLegendKey val="0"/>
          <c:showVal val="0"/>
          <c:showCatName val="0"/>
          <c:showSerName val="0"/>
          <c:showPercent val="0"/>
          <c:showBubbleSize val="0"/>
        </c:dLbls>
        <c:gapWidth val="219"/>
        <c:overlap val="-27"/>
        <c:axId val="642933104"/>
        <c:axId val="642931440"/>
      </c:barChart>
      <c:catAx>
        <c:axId val="6429331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642931440"/>
        <c:crosses val="autoZero"/>
        <c:auto val="0"/>
        <c:lblAlgn val="ctr"/>
        <c:lblOffset val="100"/>
        <c:noMultiLvlLbl val="0"/>
      </c:catAx>
      <c:valAx>
        <c:axId val="6429314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crossAx val="6429331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ZA" b="1">
                <a:solidFill>
                  <a:schemeClr val="bg1"/>
                </a:solidFill>
              </a:rPr>
              <a:t>Avg Qunatity Sold: Baseline vs Promotion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lotArea>
      <c:layout/>
      <c:barChart>
        <c:barDir val="col"/>
        <c:grouping val="clustered"/>
        <c:varyColors val="0"/>
        <c:ser>
          <c:idx val="0"/>
          <c:order val="0"/>
          <c:tx>
            <c:strRef>
              <c:f>'PivotTables &amp; Charts'!$B$224</c:f>
              <c:strCache>
                <c:ptCount val="1"/>
                <c:pt idx="0">
                  <c:v>Baseline</c:v>
                </c:pt>
              </c:strCache>
            </c:strRef>
          </c:tx>
          <c:spPr>
            <a:solidFill>
              <a:schemeClr val="accent1"/>
            </a:solidFill>
            <a:ln>
              <a:noFill/>
            </a:ln>
            <a:effectLst/>
          </c:spPr>
          <c:invertIfNegative val="0"/>
          <c:cat>
            <c:strRef>
              <c:f>'PivotTables &amp; Charts'!$A$225:$A$227</c:f>
              <c:strCache>
                <c:ptCount val="3"/>
                <c:pt idx="0">
                  <c:v>February 2014</c:v>
                </c:pt>
                <c:pt idx="1">
                  <c:v>August 2014</c:v>
                </c:pt>
                <c:pt idx="2">
                  <c:v>June 2015</c:v>
                </c:pt>
              </c:strCache>
            </c:strRef>
          </c:cat>
          <c:val>
            <c:numRef>
              <c:f>'PivotTables &amp; Charts'!$B$225:$B$227</c:f>
              <c:numCache>
                <c:formatCode>General</c:formatCode>
                <c:ptCount val="3"/>
                <c:pt idx="0">
                  <c:v>5216.3500000000004</c:v>
                </c:pt>
                <c:pt idx="1">
                  <c:v>9254.84</c:v>
                </c:pt>
                <c:pt idx="2">
                  <c:v>2558.44</c:v>
                </c:pt>
              </c:numCache>
            </c:numRef>
          </c:val>
          <c:extLst>
            <c:ext xmlns:c16="http://schemas.microsoft.com/office/drawing/2014/chart" uri="{C3380CC4-5D6E-409C-BE32-E72D297353CC}">
              <c16:uniqueId val="{00000000-6C9A-4095-818A-F1AD03CFAF00}"/>
            </c:ext>
          </c:extLst>
        </c:ser>
        <c:ser>
          <c:idx val="1"/>
          <c:order val="1"/>
          <c:tx>
            <c:strRef>
              <c:f>'PivotTables &amp; Charts'!$C$224</c:f>
              <c:strCache>
                <c:ptCount val="1"/>
                <c:pt idx="0">
                  <c:v>Promotion</c:v>
                </c:pt>
              </c:strCache>
            </c:strRef>
          </c:tx>
          <c:spPr>
            <a:solidFill>
              <a:schemeClr val="bg1">
                <a:lumMod val="85000"/>
              </a:schemeClr>
            </a:solidFill>
            <a:ln>
              <a:noFill/>
            </a:ln>
            <a:effectLst/>
          </c:spPr>
          <c:invertIfNegative val="0"/>
          <c:cat>
            <c:strRef>
              <c:f>'PivotTables &amp; Charts'!$A$225:$A$227</c:f>
              <c:strCache>
                <c:ptCount val="3"/>
                <c:pt idx="0">
                  <c:v>February 2014</c:v>
                </c:pt>
                <c:pt idx="1">
                  <c:v>August 2014</c:v>
                </c:pt>
                <c:pt idx="2">
                  <c:v>June 2015</c:v>
                </c:pt>
              </c:strCache>
            </c:strRef>
          </c:cat>
          <c:val>
            <c:numRef>
              <c:f>'PivotTables &amp; Charts'!$C$225:$C$227</c:f>
              <c:numCache>
                <c:formatCode>General</c:formatCode>
                <c:ptCount val="3"/>
                <c:pt idx="0">
                  <c:v>9213.5</c:v>
                </c:pt>
                <c:pt idx="1">
                  <c:v>13200.17</c:v>
                </c:pt>
                <c:pt idx="2">
                  <c:v>5833.29</c:v>
                </c:pt>
              </c:numCache>
            </c:numRef>
          </c:val>
          <c:extLst>
            <c:ext xmlns:c16="http://schemas.microsoft.com/office/drawing/2014/chart" uri="{C3380CC4-5D6E-409C-BE32-E72D297353CC}">
              <c16:uniqueId val="{00000001-6C9A-4095-818A-F1AD03CFAF00}"/>
            </c:ext>
          </c:extLst>
        </c:ser>
        <c:dLbls>
          <c:showLegendKey val="0"/>
          <c:showVal val="0"/>
          <c:showCatName val="0"/>
          <c:showSerName val="0"/>
          <c:showPercent val="0"/>
          <c:showBubbleSize val="0"/>
        </c:dLbls>
        <c:gapWidth val="219"/>
        <c:overlap val="-27"/>
        <c:axId val="716830992"/>
        <c:axId val="716823920"/>
      </c:barChart>
      <c:catAx>
        <c:axId val="716830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716823920"/>
        <c:crosses val="autoZero"/>
        <c:auto val="1"/>
        <c:lblAlgn val="ctr"/>
        <c:lblOffset val="100"/>
        <c:noMultiLvlLbl val="0"/>
      </c:catAx>
      <c:valAx>
        <c:axId val="7168239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crossAx val="7168309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6">
  <a:schemeClr val="accent3"/>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6">
  <a:schemeClr val="accent3"/>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10.xml"/><Relationship Id="rId7" Type="http://schemas.openxmlformats.org/officeDocument/2006/relationships/image" Target="../media/image3.png"/><Relationship Id="rId2" Type="http://schemas.openxmlformats.org/officeDocument/2006/relationships/chart" Target="../charts/chart9.xml"/><Relationship Id="rId1" Type="http://schemas.openxmlformats.org/officeDocument/2006/relationships/image" Target="../media/image1.png"/><Relationship Id="rId6" Type="http://schemas.openxmlformats.org/officeDocument/2006/relationships/image" Target="../media/image2.png"/><Relationship Id="rId5" Type="http://schemas.openxmlformats.org/officeDocument/2006/relationships/chart" Target="../charts/chart12.xml"/><Relationship Id="rId4" Type="http://schemas.openxmlformats.org/officeDocument/2006/relationships/chart" Target="../charts/chart11.xml"/><Relationship Id="rId9" Type="http://schemas.openxmlformats.org/officeDocument/2006/relationships/image" Target="../media/image5.png"/></Relationships>
</file>

<file path=xl/drawings/_rels/drawing3.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chart" Target="../charts/chart14.xml"/><Relationship Id="rId7" Type="http://schemas.openxmlformats.org/officeDocument/2006/relationships/image" Target="../media/image7.png"/><Relationship Id="rId2" Type="http://schemas.openxmlformats.org/officeDocument/2006/relationships/chart" Target="../charts/chart13.xml"/><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chart" Target="../charts/chart16.xml"/><Relationship Id="rId4" Type="http://schemas.openxmlformats.org/officeDocument/2006/relationships/chart" Target="../charts/chart15.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270510</xdr:colOff>
      <xdr:row>9</xdr:row>
      <xdr:rowOff>49530</xdr:rowOff>
    </xdr:from>
    <xdr:to>
      <xdr:col>8</xdr:col>
      <xdr:colOff>76200</xdr:colOff>
      <xdr:row>23</xdr:row>
      <xdr:rowOff>19050</xdr:rowOff>
    </xdr:to>
    <xdr:graphicFrame macro="">
      <xdr:nvGraphicFramePr>
        <xdr:cNvPr id="2" name="Chart 1">
          <a:extLst>
            <a:ext uri="{FF2B5EF4-FFF2-40B4-BE49-F238E27FC236}">
              <a16:creationId xmlns:a16="http://schemas.microsoft.com/office/drawing/2014/main" id="{A8942DD6-CFD4-42BA-A7CC-3E89529F3D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224790</xdr:colOff>
      <xdr:row>45</xdr:row>
      <xdr:rowOff>102870</xdr:rowOff>
    </xdr:from>
    <xdr:to>
      <xdr:col>5</xdr:col>
      <xdr:colOff>537210</xdr:colOff>
      <xdr:row>59</xdr:row>
      <xdr:rowOff>72390</xdr:rowOff>
    </xdr:to>
    <xdr:graphicFrame macro="">
      <xdr:nvGraphicFramePr>
        <xdr:cNvPr id="3" name="Chart 2">
          <a:extLst>
            <a:ext uri="{FF2B5EF4-FFF2-40B4-BE49-F238E27FC236}">
              <a16:creationId xmlns:a16="http://schemas.microsoft.com/office/drawing/2014/main" id="{0BC5D0A2-D595-4998-AD97-DDAEAF0965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468630</xdr:colOff>
      <xdr:row>60</xdr:row>
      <xdr:rowOff>110490</xdr:rowOff>
    </xdr:from>
    <xdr:to>
      <xdr:col>6</xdr:col>
      <xdr:colOff>110490</xdr:colOff>
      <xdr:row>74</xdr:row>
      <xdr:rowOff>80010</xdr:rowOff>
    </xdr:to>
    <xdr:graphicFrame macro="">
      <xdr:nvGraphicFramePr>
        <xdr:cNvPr id="4" name="Chart 3">
          <a:extLst>
            <a:ext uri="{FF2B5EF4-FFF2-40B4-BE49-F238E27FC236}">
              <a16:creationId xmlns:a16="http://schemas.microsoft.com/office/drawing/2014/main" id="{21838FBA-0059-4F5F-9C14-E8DE4955EA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521970</xdr:colOff>
      <xdr:row>76</xdr:row>
      <xdr:rowOff>118110</xdr:rowOff>
    </xdr:from>
    <xdr:to>
      <xdr:col>8</xdr:col>
      <xdr:colOff>518160</xdr:colOff>
      <xdr:row>90</xdr:row>
      <xdr:rowOff>87630</xdr:rowOff>
    </xdr:to>
    <xdr:graphicFrame macro="">
      <xdr:nvGraphicFramePr>
        <xdr:cNvPr id="5" name="Chart 4">
          <a:extLst>
            <a:ext uri="{FF2B5EF4-FFF2-40B4-BE49-F238E27FC236}">
              <a16:creationId xmlns:a16="http://schemas.microsoft.com/office/drawing/2014/main" id="{68E196F1-1666-4D8B-8CAC-D90CEFF56E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118110</xdr:colOff>
      <xdr:row>123</xdr:row>
      <xdr:rowOff>186690</xdr:rowOff>
    </xdr:from>
    <xdr:to>
      <xdr:col>8</xdr:col>
      <xdr:colOff>502920</xdr:colOff>
      <xdr:row>139</xdr:row>
      <xdr:rowOff>160020</xdr:rowOff>
    </xdr:to>
    <xdr:graphicFrame macro="">
      <xdr:nvGraphicFramePr>
        <xdr:cNvPr id="6" name="Chart 5">
          <a:extLst>
            <a:ext uri="{FF2B5EF4-FFF2-40B4-BE49-F238E27FC236}">
              <a16:creationId xmlns:a16="http://schemas.microsoft.com/office/drawing/2014/main" id="{A879443A-1D2F-42CF-8A43-3DFB85F282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232410</xdr:colOff>
      <xdr:row>168</xdr:row>
      <xdr:rowOff>102870</xdr:rowOff>
    </xdr:from>
    <xdr:to>
      <xdr:col>8</xdr:col>
      <xdr:colOff>388620</xdr:colOff>
      <xdr:row>182</xdr:row>
      <xdr:rowOff>72390</xdr:rowOff>
    </xdr:to>
    <xdr:graphicFrame macro="">
      <xdr:nvGraphicFramePr>
        <xdr:cNvPr id="7" name="Chart 6">
          <a:extLst>
            <a:ext uri="{FF2B5EF4-FFF2-40B4-BE49-F238E27FC236}">
              <a16:creationId xmlns:a16="http://schemas.microsoft.com/office/drawing/2014/main" id="{4604FC1B-1BA3-4F17-AF7A-DDD617C2F1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255270</xdr:colOff>
      <xdr:row>206</xdr:row>
      <xdr:rowOff>194310</xdr:rowOff>
    </xdr:from>
    <xdr:to>
      <xdr:col>7</xdr:col>
      <xdr:colOff>415290</xdr:colOff>
      <xdr:row>219</xdr:row>
      <xdr:rowOff>163830</xdr:rowOff>
    </xdr:to>
    <xdr:graphicFrame macro="">
      <xdr:nvGraphicFramePr>
        <xdr:cNvPr id="12" name="Chart 11">
          <a:extLst>
            <a:ext uri="{FF2B5EF4-FFF2-40B4-BE49-F238E27FC236}">
              <a16:creationId xmlns:a16="http://schemas.microsoft.com/office/drawing/2014/main" id="{D2CC0059-E892-4447-B487-2C4A150756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346710</xdr:colOff>
      <xdr:row>221</xdr:row>
      <xdr:rowOff>26670</xdr:rowOff>
    </xdr:from>
    <xdr:to>
      <xdr:col>7</xdr:col>
      <xdr:colOff>506730</xdr:colOff>
      <xdr:row>234</xdr:row>
      <xdr:rowOff>194310</xdr:rowOff>
    </xdr:to>
    <xdr:graphicFrame macro="">
      <xdr:nvGraphicFramePr>
        <xdr:cNvPr id="13" name="Chart 12">
          <a:extLst>
            <a:ext uri="{FF2B5EF4-FFF2-40B4-BE49-F238E27FC236}">
              <a16:creationId xmlns:a16="http://schemas.microsoft.com/office/drawing/2014/main" id="{CFF4D44C-04DA-422C-B93B-E91FE04BF7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10</xdr:col>
      <xdr:colOff>762000</xdr:colOff>
      <xdr:row>12</xdr:row>
      <xdr:rowOff>62866</xdr:rowOff>
    </xdr:from>
    <xdr:to>
      <xdr:col>11</xdr:col>
      <xdr:colOff>1163955</xdr:colOff>
      <xdr:row>20</xdr:row>
      <xdr:rowOff>19051</xdr:rowOff>
    </xdr:to>
    <mc:AlternateContent xmlns:mc="http://schemas.openxmlformats.org/markup-compatibility/2006" xmlns:a14="http://schemas.microsoft.com/office/drawing/2010/main">
      <mc:Choice Requires="a14">
        <xdr:graphicFrame macro="">
          <xdr:nvGraphicFramePr>
            <xdr:cNvPr id="14" name="year">
              <a:extLst>
                <a:ext uri="{FF2B5EF4-FFF2-40B4-BE49-F238E27FC236}">
                  <a16:creationId xmlns:a16="http://schemas.microsoft.com/office/drawing/2014/main" id="{C6BD895A-FA5B-4C11-A875-79F1998661E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487275" y="3649981"/>
              <a:ext cx="1817370" cy="155638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544830</xdr:colOff>
      <xdr:row>11</xdr:row>
      <xdr:rowOff>139065</xdr:rowOff>
    </xdr:from>
    <xdr:to>
      <xdr:col>12</xdr:col>
      <xdr:colOff>952500</xdr:colOff>
      <xdr:row>25</xdr:row>
      <xdr:rowOff>38100</xdr:rowOff>
    </xdr:to>
    <mc:AlternateContent xmlns:mc="http://schemas.openxmlformats.org/markup-compatibility/2006" xmlns:a14="http://schemas.microsoft.com/office/drawing/2010/main">
      <mc:Choice Requires="a14">
        <xdr:graphicFrame macro="">
          <xdr:nvGraphicFramePr>
            <xdr:cNvPr id="15" name="month">
              <a:extLst>
                <a:ext uri="{FF2B5EF4-FFF2-40B4-BE49-F238E27FC236}">
                  <a16:creationId xmlns:a16="http://schemas.microsoft.com/office/drawing/2014/main" id="{C36A7E45-B909-4284-8DEE-D6F1351B9A35}"/>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3693140" y="3526155"/>
              <a:ext cx="1823085" cy="270319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657225</xdr:colOff>
      <xdr:row>12</xdr:row>
      <xdr:rowOff>28576</xdr:rowOff>
    </xdr:from>
    <xdr:to>
      <xdr:col>10</xdr:col>
      <xdr:colOff>588645</xdr:colOff>
      <xdr:row>24</xdr:row>
      <xdr:rowOff>57151</xdr:rowOff>
    </xdr:to>
    <mc:AlternateContent xmlns:mc="http://schemas.openxmlformats.org/markup-compatibility/2006" xmlns:a14="http://schemas.microsoft.com/office/drawing/2010/main">
      <mc:Choice Requires="a14">
        <xdr:graphicFrame macro="">
          <xdr:nvGraphicFramePr>
            <xdr:cNvPr id="16" name="day_of_week">
              <a:extLst>
                <a:ext uri="{FF2B5EF4-FFF2-40B4-BE49-F238E27FC236}">
                  <a16:creationId xmlns:a16="http://schemas.microsoft.com/office/drawing/2014/main" id="{F50DAEBE-C38C-47C8-9766-8131C5E81E34}"/>
                </a:ext>
              </a:extLst>
            </xdr:cNvPr>
            <xdr:cNvGraphicFramePr/>
          </xdr:nvGraphicFramePr>
          <xdr:xfrm>
            <a:off x="0" y="0"/>
            <a:ext cx="0" cy="0"/>
          </xdr:xfrm>
          <a:graphic>
            <a:graphicData uri="http://schemas.microsoft.com/office/drawing/2010/slicer">
              <sle:slicer xmlns:sle="http://schemas.microsoft.com/office/drawing/2010/slicer" name="day_of_week"/>
            </a:graphicData>
          </a:graphic>
        </xdr:graphicFrame>
      </mc:Choice>
      <mc:Fallback xmlns="">
        <xdr:sp macro="" textlink="">
          <xdr:nvSpPr>
            <xdr:cNvPr id="0" name=""/>
            <xdr:cNvSpPr>
              <a:spLocks noTextEdit="1"/>
            </xdr:cNvSpPr>
          </xdr:nvSpPr>
          <xdr:spPr>
            <a:xfrm>
              <a:off x="10507980" y="3617596"/>
              <a:ext cx="1809750" cy="242697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53810</xdr:colOff>
      <xdr:row>0</xdr:row>
      <xdr:rowOff>35715</xdr:rowOff>
    </xdr:from>
    <xdr:to>
      <xdr:col>24</xdr:col>
      <xdr:colOff>212000</xdr:colOff>
      <xdr:row>44</xdr:row>
      <xdr:rowOff>93840</xdr:rowOff>
    </xdr:to>
    <xdr:sp macro="" textlink="">
      <xdr:nvSpPr>
        <xdr:cNvPr id="3" name="Rectangle: Rounded Corners 2">
          <a:extLst>
            <a:ext uri="{FF2B5EF4-FFF2-40B4-BE49-F238E27FC236}">
              <a16:creationId xmlns:a16="http://schemas.microsoft.com/office/drawing/2014/main" id="{C0042772-4FB2-45F7-87A5-668B0888AF70}"/>
            </a:ext>
          </a:extLst>
        </xdr:cNvPr>
        <xdr:cNvSpPr/>
      </xdr:nvSpPr>
      <xdr:spPr>
        <a:xfrm>
          <a:off x="53810" y="35715"/>
          <a:ext cx="16160190" cy="8964000"/>
        </a:xfrm>
        <a:prstGeom prst="roundRect">
          <a:avLst>
            <a:gd name="adj" fmla="val 730"/>
          </a:avLst>
        </a:prstGeom>
        <a:ln w="9525"/>
      </xdr:spPr>
      <xdr:style>
        <a:lnRef idx="2">
          <a:schemeClr val="dk1"/>
        </a:lnRef>
        <a:fillRef idx="1">
          <a:schemeClr val="lt1"/>
        </a:fillRef>
        <a:effectRef idx="0">
          <a:schemeClr val="dk1"/>
        </a:effectRef>
        <a:fontRef idx="minor">
          <a:schemeClr val="dk1"/>
        </a:fontRef>
      </xdr:style>
      <xdr:txBody>
        <a:bodyPr rtlCol="0" anchor="ctr"/>
        <a:lstStyle/>
        <a:p>
          <a:pPr algn="l"/>
          <a:endParaRPr lang="en-ZA" sz="1100"/>
        </a:p>
      </xdr:txBody>
    </xdr:sp>
    <xdr:clientData/>
  </xdr:twoCellAnchor>
  <xdr:twoCellAnchor>
    <xdr:from>
      <xdr:col>0</xdr:col>
      <xdr:colOff>96679</xdr:colOff>
      <xdr:row>0</xdr:row>
      <xdr:rowOff>53816</xdr:rowOff>
    </xdr:from>
    <xdr:to>
      <xdr:col>2</xdr:col>
      <xdr:colOff>416719</xdr:colOff>
      <xdr:row>5</xdr:row>
      <xdr:rowOff>190500</xdr:rowOff>
    </xdr:to>
    <xdr:sp macro="" textlink="">
      <xdr:nvSpPr>
        <xdr:cNvPr id="4" name="Rectangle: Rounded Corners 3">
          <a:extLst>
            <a:ext uri="{FF2B5EF4-FFF2-40B4-BE49-F238E27FC236}">
              <a16:creationId xmlns:a16="http://schemas.microsoft.com/office/drawing/2014/main" id="{F6A417A3-9D40-4FDA-867F-F9EA78F8A2C6}"/>
            </a:ext>
          </a:extLst>
        </xdr:cNvPr>
        <xdr:cNvSpPr/>
      </xdr:nvSpPr>
      <xdr:spPr>
        <a:xfrm>
          <a:off x="96679" y="53816"/>
          <a:ext cx="1653540" cy="1148715"/>
        </a:xfrm>
        <a:prstGeom prst="roundRect">
          <a:avLst>
            <a:gd name="adj" fmla="val 20050"/>
          </a:avLst>
        </a:prstGeom>
        <a:solidFill>
          <a:schemeClr val="accent1">
            <a:lumMod val="75000"/>
          </a:schemeClr>
        </a:solidFill>
        <a:effectLst>
          <a:outerShdw blurRad="50800" dist="38100" dir="2700000" algn="tl" rotWithShape="0">
            <a:prstClr val="black">
              <a:alpha val="40000"/>
            </a:prstClr>
          </a:outerShdw>
        </a:effectLst>
      </xdr:spPr>
      <xdr:style>
        <a:lnRef idx="1">
          <a:schemeClr val="accent5"/>
        </a:lnRef>
        <a:fillRef idx="3">
          <a:schemeClr val="accent5"/>
        </a:fillRef>
        <a:effectRef idx="2">
          <a:schemeClr val="accent5"/>
        </a:effectRef>
        <a:fontRef idx="minor">
          <a:schemeClr val="lt1"/>
        </a:fontRef>
      </xdr:style>
      <xdr:txBody>
        <a:bodyPr rtlCol="0" anchor="ctr"/>
        <a:lstStyle/>
        <a:p>
          <a:pPr algn="l"/>
          <a:endParaRPr lang="en-ZA" sz="1100"/>
        </a:p>
      </xdr:txBody>
    </xdr:sp>
    <xdr:clientData/>
  </xdr:twoCellAnchor>
  <xdr:twoCellAnchor>
    <xdr:from>
      <xdr:col>2</xdr:col>
      <xdr:colOff>515779</xdr:colOff>
      <xdr:row>0</xdr:row>
      <xdr:rowOff>55718</xdr:rowOff>
    </xdr:from>
    <xdr:to>
      <xdr:col>24</xdr:col>
      <xdr:colOff>131445</xdr:colOff>
      <xdr:row>6</xdr:row>
      <xdr:rowOff>1425</xdr:rowOff>
    </xdr:to>
    <xdr:sp macro="" textlink="">
      <xdr:nvSpPr>
        <xdr:cNvPr id="19" name="Rectangle: Rounded Corners 18">
          <a:extLst>
            <a:ext uri="{FF2B5EF4-FFF2-40B4-BE49-F238E27FC236}">
              <a16:creationId xmlns:a16="http://schemas.microsoft.com/office/drawing/2014/main" id="{D798818B-7E47-44A9-BCD8-20F608F4D121}"/>
            </a:ext>
          </a:extLst>
        </xdr:cNvPr>
        <xdr:cNvSpPr/>
      </xdr:nvSpPr>
      <xdr:spPr>
        <a:xfrm>
          <a:off x="1849279" y="55718"/>
          <a:ext cx="14284166" cy="1160145"/>
        </a:xfrm>
        <a:prstGeom prst="roundRect">
          <a:avLst>
            <a:gd name="adj" fmla="val 20050"/>
          </a:avLst>
        </a:prstGeom>
        <a:solidFill>
          <a:schemeClr val="accent1">
            <a:lumMod val="75000"/>
          </a:schemeClr>
        </a:solidFill>
        <a:effectLst>
          <a:outerShdw blurRad="50800" dist="38100" dir="2700000" algn="tl" rotWithShape="0">
            <a:prstClr val="black">
              <a:alpha val="40000"/>
            </a:prstClr>
          </a:outerShdw>
        </a:effectLst>
      </xdr:spPr>
      <xdr:style>
        <a:lnRef idx="1">
          <a:schemeClr val="accent5"/>
        </a:lnRef>
        <a:fillRef idx="3">
          <a:schemeClr val="accent5"/>
        </a:fillRef>
        <a:effectRef idx="2">
          <a:schemeClr val="accent5"/>
        </a:effectRef>
        <a:fontRef idx="minor">
          <a:schemeClr val="lt1"/>
        </a:fontRef>
      </xdr:style>
      <xdr:txBody>
        <a:bodyPr rtlCol="0" anchor="ctr"/>
        <a:lstStyle/>
        <a:p>
          <a:pPr algn="l"/>
          <a:endParaRPr lang="en-ZA" sz="1100"/>
        </a:p>
      </xdr:txBody>
    </xdr:sp>
    <xdr:clientData/>
  </xdr:twoCellAnchor>
  <xdr:twoCellAnchor>
    <xdr:from>
      <xdr:col>0</xdr:col>
      <xdr:colOff>93339</xdr:colOff>
      <xdr:row>6</xdr:row>
      <xdr:rowOff>83344</xdr:rowOff>
    </xdr:from>
    <xdr:to>
      <xdr:col>2</xdr:col>
      <xdr:colOff>409569</xdr:colOff>
      <xdr:row>44</xdr:row>
      <xdr:rowOff>20003</xdr:rowOff>
    </xdr:to>
    <xdr:sp macro="" textlink="">
      <xdr:nvSpPr>
        <xdr:cNvPr id="20" name="Rectangle: Rounded Corners 19">
          <a:extLst>
            <a:ext uri="{FF2B5EF4-FFF2-40B4-BE49-F238E27FC236}">
              <a16:creationId xmlns:a16="http://schemas.microsoft.com/office/drawing/2014/main" id="{57BA6CBC-DC42-4471-99E8-A9C9849FF95E}"/>
            </a:ext>
          </a:extLst>
        </xdr:cNvPr>
        <xdr:cNvSpPr/>
      </xdr:nvSpPr>
      <xdr:spPr>
        <a:xfrm>
          <a:off x="93339" y="1297782"/>
          <a:ext cx="1649730" cy="7628096"/>
        </a:xfrm>
        <a:prstGeom prst="roundRect">
          <a:avLst>
            <a:gd name="adj" fmla="val 20050"/>
          </a:avLst>
        </a:prstGeom>
        <a:solidFill>
          <a:schemeClr val="accent1">
            <a:lumMod val="75000"/>
          </a:schemeClr>
        </a:solidFill>
        <a:effectLst>
          <a:outerShdw blurRad="50800" dist="38100" dir="2700000" algn="tl" rotWithShape="0">
            <a:prstClr val="black">
              <a:alpha val="40000"/>
            </a:prstClr>
          </a:outerShdw>
        </a:effectLst>
      </xdr:spPr>
      <xdr:style>
        <a:lnRef idx="1">
          <a:schemeClr val="accent5"/>
        </a:lnRef>
        <a:fillRef idx="3">
          <a:schemeClr val="accent5"/>
        </a:fillRef>
        <a:effectRef idx="2">
          <a:schemeClr val="accent5"/>
        </a:effectRef>
        <a:fontRef idx="minor">
          <a:schemeClr val="lt1"/>
        </a:fontRef>
      </xdr:style>
      <xdr:txBody>
        <a:bodyPr rtlCol="0" anchor="ctr"/>
        <a:lstStyle/>
        <a:p>
          <a:pPr algn="l"/>
          <a:endParaRPr lang="en-ZA" sz="1100"/>
        </a:p>
      </xdr:txBody>
    </xdr:sp>
    <xdr:clientData/>
  </xdr:twoCellAnchor>
  <xdr:twoCellAnchor>
    <xdr:from>
      <xdr:col>18</xdr:col>
      <xdr:colOff>642937</xdr:colOff>
      <xdr:row>6</xdr:row>
      <xdr:rowOff>92864</xdr:rowOff>
    </xdr:from>
    <xdr:to>
      <xdr:col>24</xdr:col>
      <xdr:colOff>98100</xdr:colOff>
      <xdr:row>11</xdr:row>
      <xdr:rowOff>174307</xdr:rowOff>
    </xdr:to>
    <xdr:sp macro="" textlink="">
      <xdr:nvSpPr>
        <xdr:cNvPr id="21" name="Rectangle: Rounded Corners 20">
          <a:extLst>
            <a:ext uri="{FF2B5EF4-FFF2-40B4-BE49-F238E27FC236}">
              <a16:creationId xmlns:a16="http://schemas.microsoft.com/office/drawing/2014/main" id="{38E0538F-995E-467D-A853-9DDB8C315709}"/>
            </a:ext>
          </a:extLst>
        </xdr:cNvPr>
        <xdr:cNvSpPr/>
      </xdr:nvSpPr>
      <xdr:spPr>
        <a:xfrm>
          <a:off x="12644437" y="1307302"/>
          <a:ext cx="3455663" cy="1093474"/>
        </a:xfrm>
        <a:prstGeom prst="roundRect">
          <a:avLst>
            <a:gd name="adj" fmla="val 20050"/>
          </a:avLst>
        </a:prstGeom>
        <a:solidFill>
          <a:schemeClr val="accent1">
            <a:lumMod val="75000"/>
          </a:schemeClr>
        </a:solidFill>
        <a:effectLst>
          <a:outerShdw blurRad="50800" dist="38100" dir="2700000" algn="tl" rotWithShape="0">
            <a:prstClr val="black">
              <a:alpha val="40000"/>
            </a:prstClr>
          </a:outerShdw>
        </a:effectLst>
      </xdr:spPr>
      <xdr:style>
        <a:lnRef idx="1">
          <a:schemeClr val="accent5"/>
        </a:lnRef>
        <a:fillRef idx="3">
          <a:schemeClr val="accent5"/>
        </a:fillRef>
        <a:effectRef idx="2">
          <a:schemeClr val="accent5"/>
        </a:effectRef>
        <a:fontRef idx="minor">
          <a:schemeClr val="lt1"/>
        </a:fontRef>
      </xdr:style>
      <xdr:txBody>
        <a:bodyPr rtlCol="0" anchor="ctr"/>
        <a:lstStyle/>
        <a:p>
          <a:pPr algn="l"/>
          <a:endParaRPr lang="en-ZA" sz="1100"/>
        </a:p>
      </xdr:txBody>
    </xdr:sp>
    <xdr:clientData/>
  </xdr:twoCellAnchor>
  <xdr:twoCellAnchor>
    <xdr:from>
      <xdr:col>13</xdr:col>
      <xdr:colOff>379089</xdr:colOff>
      <xdr:row>6</xdr:row>
      <xdr:rowOff>120963</xdr:rowOff>
    </xdr:from>
    <xdr:to>
      <xdr:col>18</xdr:col>
      <xdr:colOff>491477</xdr:colOff>
      <xdr:row>11</xdr:row>
      <xdr:rowOff>190976</xdr:rowOff>
    </xdr:to>
    <xdr:sp macro="" textlink="">
      <xdr:nvSpPr>
        <xdr:cNvPr id="31" name="Rectangle: Rounded Corners 30">
          <a:extLst>
            <a:ext uri="{FF2B5EF4-FFF2-40B4-BE49-F238E27FC236}">
              <a16:creationId xmlns:a16="http://schemas.microsoft.com/office/drawing/2014/main" id="{F69F2EBD-3FB6-4A98-A2B8-E2921BA1886F}"/>
            </a:ext>
          </a:extLst>
        </xdr:cNvPr>
        <xdr:cNvSpPr/>
      </xdr:nvSpPr>
      <xdr:spPr>
        <a:xfrm>
          <a:off x="9046839" y="1335401"/>
          <a:ext cx="3446138" cy="1082044"/>
        </a:xfrm>
        <a:prstGeom prst="roundRect">
          <a:avLst>
            <a:gd name="adj" fmla="val 20050"/>
          </a:avLst>
        </a:prstGeom>
        <a:solidFill>
          <a:schemeClr val="accent1">
            <a:lumMod val="75000"/>
          </a:schemeClr>
        </a:solidFill>
        <a:effectLst>
          <a:outerShdw blurRad="50800" dist="38100" dir="2700000" algn="tl" rotWithShape="0">
            <a:prstClr val="black">
              <a:alpha val="40000"/>
            </a:prstClr>
          </a:outerShdw>
        </a:effectLst>
      </xdr:spPr>
      <xdr:style>
        <a:lnRef idx="1">
          <a:schemeClr val="accent5"/>
        </a:lnRef>
        <a:fillRef idx="3">
          <a:schemeClr val="accent5"/>
        </a:fillRef>
        <a:effectRef idx="2">
          <a:schemeClr val="accent5"/>
        </a:effectRef>
        <a:fontRef idx="minor">
          <a:schemeClr val="lt1"/>
        </a:fontRef>
      </xdr:style>
      <xdr:txBody>
        <a:bodyPr rtlCol="0" anchor="ctr"/>
        <a:lstStyle/>
        <a:p>
          <a:pPr algn="l"/>
          <a:endParaRPr lang="en-ZA" sz="1100"/>
        </a:p>
      </xdr:txBody>
    </xdr:sp>
    <xdr:clientData/>
  </xdr:twoCellAnchor>
  <xdr:twoCellAnchor>
    <xdr:from>
      <xdr:col>8</xdr:col>
      <xdr:colOff>87624</xdr:colOff>
      <xdr:row>6</xdr:row>
      <xdr:rowOff>112865</xdr:rowOff>
    </xdr:from>
    <xdr:to>
      <xdr:col>13</xdr:col>
      <xdr:colOff>209537</xdr:colOff>
      <xdr:row>11</xdr:row>
      <xdr:rowOff>177163</xdr:rowOff>
    </xdr:to>
    <xdr:sp macro="" textlink="">
      <xdr:nvSpPr>
        <xdr:cNvPr id="33" name="Rectangle: Rounded Corners 32">
          <a:extLst>
            <a:ext uri="{FF2B5EF4-FFF2-40B4-BE49-F238E27FC236}">
              <a16:creationId xmlns:a16="http://schemas.microsoft.com/office/drawing/2014/main" id="{A0A2A7BD-629D-47BB-A041-A96037F74B7C}"/>
            </a:ext>
          </a:extLst>
        </xdr:cNvPr>
        <xdr:cNvSpPr/>
      </xdr:nvSpPr>
      <xdr:spPr>
        <a:xfrm>
          <a:off x="5421624" y="1327303"/>
          <a:ext cx="3455663" cy="1076329"/>
        </a:xfrm>
        <a:prstGeom prst="roundRect">
          <a:avLst>
            <a:gd name="adj" fmla="val 20050"/>
          </a:avLst>
        </a:prstGeom>
        <a:solidFill>
          <a:schemeClr val="accent1">
            <a:lumMod val="75000"/>
          </a:schemeClr>
        </a:solidFill>
        <a:effectLst>
          <a:outerShdw blurRad="50800" dist="38100" dir="2700000" algn="tl" rotWithShape="0">
            <a:prstClr val="black">
              <a:alpha val="40000"/>
            </a:prstClr>
          </a:outerShdw>
        </a:effectLst>
      </xdr:spPr>
      <xdr:style>
        <a:lnRef idx="1">
          <a:schemeClr val="accent5"/>
        </a:lnRef>
        <a:fillRef idx="3">
          <a:schemeClr val="accent5"/>
        </a:fillRef>
        <a:effectRef idx="2">
          <a:schemeClr val="accent5"/>
        </a:effectRef>
        <a:fontRef idx="minor">
          <a:schemeClr val="lt1"/>
        </a:fontRef>
      </xdr:style>
      <xdr:txBody>
        <a:bodyPr rtlCol="0" anchor="ctr"/>
        <a:lstStyle/>
        <a:p>
          <a:pPr algn="l"/>
          <a:endParaRPr lang="en-ZA" sz="1100"/>
        </a:p>
      </xdr:txBody>
    </xdr:sp>
    <xdr:clientData/>
  </xdr:twoCellAnchor>
  <xdr:twoCellAnchor>
    <xdr:from>
      <xdr:col>2</xdr:col>
      <xdr:colOff>496246</xdr:colOff>
      <xdr:row>6</xdr:row>
      <xdr:rowOff>110963</xdr:rowOff>
    </xdr:from>
    <xdr:to>
      <xdr:col>7</xdr:col>
      <xdr:colOff>610539</xdr:colOff>
      <xdr:row>11</xdr:row>
      <xdr:rowOff>167641</xdr:rowOff>
    </xdr:to>
    <xdr:sp macro="" textlink="">
      <xdr:nvSpPr>
        <xdr:cNvPr id="34" name="Rectangle: Rounded Corners 33">
          <a:extLst>
            <a:ext uri="{FF2B5EF4-FFF2-40B4-BE49-F238E27FC236}">
              <a16:creationId xmlns:a16="http://schemas.microsoft.com/office/drawing/2014/main" id="{9A7013C4-0AE0-49CF-B82F-D6F4E4A79005}"/>
            </a:ext>
          </a:extLst>
        </xdr:cNvPr>
        <xdr:cNvSpPr/>
      </xdr:nvSpPr>
      <xdr:spPr>
        <a:xfrm>
          <a:off x="1829746" y="1325401"/>
          <a:ext cx="3448043" cy="1068709"/>
        </a:xfrm>
        <a:prstGeom prst="roundRect">
          <a:avLst>
            <a:gd name="adj" fmla="val 20050"/>
          </a:avLst>
        </a:prstGeom>
        <a:solidFill>
          <a:schemeClr val="accent1">
            <a:lumMod val="75000"/>
          </a:schemeClr>
        </a:solidFill>
        <a:effectLst>
          <a:outerShdw blurRad="50800" dist="38100" dir="2700000" algn="tl" rotWithShape="0">
            <a:prstClr val="black">
              <a:alpha val="40000"/>
            </a:prstClr>
          </a:outerShdw>
        </a:effectLst>
      </xdr:spPr>
      <xdr:style>
        <a:lnRef idx="1">
          <a:schemeClr val="accent5"/>
        </a:lnRef>
        <a:fillRef idx="3">
          <a:schemeClr val="accent5"/>
        </a:fillRef>
        <a:effectRef idx="2">
          <a:schemeClr val="accent5"/>
        </a:effectRef>
        <a:fontRef idx="minor">
          <a:schemeClr val="lt1"/>
        </a:fontRef>
      </xdr:style>
      <xdr:txBody>
        <a:bodyPr rtlCol="0" anchor="ctr"/>
        <a:lstStyle/>
        <a:p>
          <a:pPr algn="l"/>
          <a:endParaRPr lang="en-ZA" sz="1100"/>
        </a:p>
      </xdr:txBody>
    </xdr:sp>
    <xdr:clientData/>
  </xdr:twoCellAnchor>
  <xdr:twoCellAnchor>
    <xdr:from>
      <xdr:col>13</xdr:col>
      <xdr:colOff>363372</xdr:colOff>
      <xdr:row>12</xdr:row>
      <xdr:rowOff>69529</xdr:rowOff>
    </xdr:from>
    <xdr:to>
      <xdr:col>24</xdr:col>
      <xdr:colOff>130969</xdr:colOff>
      <xdr:row>27</xdr:row>
      <xdr:rowOff>39525</xdr:rowOff>
    </xdr:to>
    <xdr:sp macro="" textlink="">
      <xdr:nvSpPr>
        <xdr:cNvPr id="37" name="Rectangle: Rounded Corners 36">
          <a:extLst>
            <a:ext uri="{FF2B5EF4-FFF2-40B4-BE49-F238E27FC236}">
              <a16:creationId xmlns:a16="http://schemas.microsoft.com/office/drawing/2014/main" id="{0FE1098E-671A-44C1-87D3-C856B85E3929}"/>
            </a:ext>
          </a:extLst>
        </xdr:cNvPr>
        <xdr:cNvSpPr/>
      </xdr:nvSpPr>
      <xdr:spPr>
        <a:xfrm>
          <a:off x="9031122" y="2498404"/>
          <a:ext cx="7101847" cy="3006090"/>
        </a:xfrm>
        <a:prstGeom prst="roundRect">
          <a:avLst>
            <a:gd name="adj" fmla="val 10117"/>
          </a:avLst>
        </a:prstGeom>
        <a:solidFill>
          <a:schemeClr val="accent1">
            <a:lumMod val="75000"/>
          </a:schemeClr>
        </a:solidFill>
        <a:effectLst>
          <a:outerShdw blurRad="50800" dist="38100" dir="2700000" algn="tl" rotWithShape="0">
            <a:prstClr val="black">
              <a:alpha val="40000"/>
            </a:prstClr>
          </a:outerShdw>
        </a:effectLst>
      </xdr:spPr>
      <xdr:style>
        <a:lnRef idx="1">
          <a:schemeClr val="accent5"/>
        </a:lnRef>
        <a:fillRef idx="3">
          <a:schemeClr val="accent5"/>
        </a:fillRef>
        <a:effectRef idx="2">
          <a:schemeClr val="accent5"/>
        </a:effectRef>
        <a:fontRef idx="minor">
          <a:schemeClr val="lt1"/>
        </a:fontRef>
      </xdr:style>
      <xdr:txBody>
        <a:bodyPr rtlCol="0" anchor="ctr"/>
        <a:lstStyle/>
        <a:p>
          <a:pPr algn="l"/>
          <a:endParaRPr lang="en-ZA" sz="1100"/>
        </a:p>
      </xdr:txBody>
    </xdr:sp>
    <xdr:clientData/>
  </xdr:twoCellAnchor>
  <xdr:twoCellAnchor>
    <xdr:from>
      <xdr:col>2</xdr:col>
      <xdr:colOff>458622</xdr:colOff>
      <xdr:row>27</xdr:row>
      <xdr:rowOff>166687</xdr:rowOff>
    </xdr:from>
    <xdr:to>
      <xdr:col>13</xdr:col>
      <xdr:colOff>226219</xdr:colOff>
      <xdr:row>44</xdr:row>
      <xdr:rowOff>948</xdr:rowOff>
    </xdr:to>
    <xdr:sp macro="" textlink="">
      <xdr:nvSpPr>
        <xdr:cNvPr id="40" name="Rectangle: Rounded Corners 39">
          <a:extLst>
            <a:ext uri="{FF2B5EF4-FFF2-40B4-BE49-F238E27FC236}">
              <a16:creationId xmlns:a16="http://schemas.microsoft.com/office/drawing/2014/main" id="{30EA7B29-D902-4591-9E8E-57D98778CAAE}"/>
            </a:ext>
          </a:extLst>
        </xdr:cNvPr>
        <xdr:cNvSpPr/>
      </xdr:nvSpPr>
      <xdr:spPr>
        <a:xfrm>
          <a:off x="1792122" y="5631656"/>
          <a:ext cx="7101847" cy="3275167"/>
        </a:xfrm>
        <a:prstGeom prst="roundRect">
          <a:avLst>
            <a:gd name="adj" fmla="val 10117"/>
          </a:avLst>
        </a:prstGeom>
        <a:solidFill>
          <a:schemeClr val="accent1">
            <a:lumMod val="75000"/>
          </a:schemeClr>
        </a:solidFill>
        <a:effectLst>
          <a:outerShdw blurRad="50800" dist="38100" dir="2700000" algn="tl" rotWithShape="0">
            <a:prstClr val="black">
              <a:alpha val="40000"/>
            </a:prstClr>
          </a:outerShdw>
        </a:effectLst>
      </xdr:spPr>
      <xdr:style>
        <a:lnRef idx="1">
          <a:schemeClr val="accent5"/>
        </a:lnRef>
        <a:fillRef idx="3">
          <a:schemeClr val="accent5"/>
        </a:fillRef>
        <a:effectRef idx="2">
          <a:schemeClr val="accent5"/>
        </a:effectRef>
        <a:fontRef idx="minor">
          <a:schemeClr val="lt1"/>
        </a:fontRef>
      </xdr:style>
      <xdr:txBody>
        <a:bodyPr rtlCol="0" anchor="ctr"/>
        <a:lstStyle/>
        <a:p>
          <a:pPr algn="l"/>
          <a:endParaRPr lang="en-ZA" sz="1100"/>
        </a:p>
      </xdr:txBody>
    </xdr:sp>
    <xdr:clientData/>
  </xdr:twoCellAnchor>
  <xdr:twoCellAnchor>
    <xdr:from>
      <xdr:col>13</xdr:col>
      <xdr:colOff>363373</xdr:colOff>
      <xdr:row>27</xdr:row>
      <xdr:rowOff>142875</xdr:rowOff>
    </xdr:from>
    <xdr:to>
      <xdr:col>24</xdr:col>
      <xdr:colOff>132875</xdr:colOff>
      <xdr:row>44</xdr:row>
      <xdr:rowOff>20947</xdr:rowOff>
    </xdr:to>
    <xdr:sp macro="" textlink="">
      <xdr:nvSpPr>
        <xdr:cNvPr id="42" name="Rectangle: Rounded Corners 41">
          <a:extLst>
            <a:ext uri="{FF2B5EF4-FFF2-40B4-BE49-F238E27FC236}">
              <a16:creationId xmlns:a16="http://schemas.microsoft.com/office/drawing/2014/main" id="{D87EF351-09FB-4CA6-A370-2FE7F8402AE3}"/>
            </a:ext>
          </a:extLst>
        </xdr:cNvPr>
        <xdr:cNvSpPr/>
      </xdr:nvSpPr>
      <xdr:spPr>
        <a:xfrm>
          <a:off x="9031123" y="5607844"/>
          <a:ext cx="7103752" cy="3318978"/>
        </a:xfrm>
        <a:prstGeom prst="roundRect">
          <a:avLst>
            <a:gd name="adj" fmla="val 10117"/>
          </a:avLst>
        </a:prstGeom>
        <a:solidFill>
          <a:schemeClr val="accent1">
            <a:lumMod val="75000"/>
          </a:schemeClr>
        </a:solidFill>
        <a:effectLst>
          <a:outerShdw blurRad="50800" dist="38100" dir="2700000" algn="tl" rotWithShape="0">
            <a:prstClr val="black">
              <a:alpha val="40000"/>
            </a:prstClr>
          </a:outerShdw>
        </a:effectLst>
      </xdr:spPr>
      <xdr:style>
        <a:lnRef idx="1">
          <a:schemeClr val="accent5"/>
        </a:lnRef>
        <a:fillRef idx="3">
          <a:schemeClr val="accent5"/>
        </a:fillRef>
        <a:effectRef idx="2">
          <a:schemeClr val="accent5"/>
        </a:effectRef>
        <a:fontRef idx="minor">
          <a:schemeClr val="lt1"/>
        </a:fontRef>
      </xdr:style>
      <xdr:txBody>
        <a:bodyPr rtlCol="0" anchor="ctr"/>
        <a:lstStyle/>
        <a:p>
          <a:pPr algn="l"/>
          <a:endParaRPr lang="en-ZA" sz="1100"/>
        </a:p>
      </xdr:txBody>
    </xdr:sp>
    <xdr:clientData/>
  </xdr:twoCellAnchor>
  <xdr:twoCellAnchor>
    <xdr:from>
      <xdr:col>2</xdr:col>
      <xdr:colOff>474339</xdr:colOff>
      <xdr:row>12</xdr:row>
      <xdr:rowOff>71434</xdr:rowOff>
    </xdr:from>
    <xdr:to>
      <xdr:col>13</xdr:col>
      <xdr:colOff>245746</xdr:colOff>
      <xdr:row>27</xdr:row>
      <xdr:rowOff>45240</xdr:rowOff>
    </xdr:to>
    <xdr:sp macro="" textlink="">
      <xdr:nvSpPr>
        <xdr:cNvPr id="44" name="Rectangle: Rounded Corners 43">
          <a:extLst>
            <a:ext uri="{FF2B5EF4-FFF2-40B4-BE49-F238E27FC236}">
              <a16:creationId xmlns:a16="http://schemas.microsoft.com/office/drawing/2014/main" id="{8733FFA5-B978-4E6D-B4AC-4FFC09786042}"/>
            </a:ext>
          </a:extLst>
        </xdr:cNvPr>
        <xdr:cNvSpPr/>
      </xdr:nvSpPr>
      <xdr:spPr>
        <a:xfrm>
          <a:off x="1807839" y="2500309"/>
          <a:ext cx="7105657" cy="3009900"/>
        </a:xfrm>
        <a:prstGeom prst="roundRect">
          <a:avLst>
            <a:gd name="adj" fmla="val 10117"/>
          </a:avLst>
        </a:prstGeom>
        <a:solidFill>
          <a:schemeClr val="accent1">
            <a:lumMod val="75000"/>
          </a:schemeClr>
        </a:solidFill>
        <a:effectLst>
          <a:outerShdw blurRad="50800" dist="38100" dir="2700000" algn="tl" rotWithShape="0">
            <a:prstClr val="black">
              <a:alpha val="40000"/>
            </a:prstClr>
          </a:outerShdw>
        </a:effectLst>
      </xdr:spPr>
      <xdr:style>
        <a:lnRef idx="1">
          <a:schemeClr val="accent5"/>
        </a:lnRef>
        <a:fillRef idx="3">
          <a:schemeClr val="accent5"/>
        </a:fillRef>
        <a:effectRef idx="2">
          <a:schemeClr val="accent5"/>
        </a:effectRef>
        <a:fontRef idx="minor">
          <a:schemeClr val="lt1"/>
        </a:fontRef>
      </xdr:style>
      <xdr:txBody>
        <a:bodyPr rtlCol="0" anchor="ctr"/>
        <a:lstStyle/>
        <a:p>
          <a:pPr algn="l"/>
          <a:endParaRPr lang="en-ZA" sz="1100"/>
        </a:p>
      </xdr:txBody>
    </xdr:sp>
    <xdr:clientData/>
  </xdr:twoCellAnchor>
  <xdr:twoCellAnchor>
    <xdr:from>
      <xdr:col>9</xdr:col>
      <xdr:colOff>345282</xdr:colOff>
      <xdr:row>1</xdr:row>
      <xdr:rowOff>59529</xdr:rowOff>
    </xdr:from>
    <xdr:to>
      <xdr:col>15</xdr:col>
      <xdr:colOff>360997</xdr:colOff>
      <xdr:row>4</xdr:row>
      <xdr:rowOff>82389</xdr:rowOff>
    </xdr:to>
    <xdr:sp macro="" textlink="">
      <xdr:nvSpPr>
        <xdr:cNvPr id="47" name="TextBox 46">
          <a:extLst>
            <a:ext uri="{FF2B5EF4-FFF2-40B4-BE49-F238E27FC236}">
              <a16:creationId xmlns:a16="http://schemas.microsoft.com/office/drawing/2014/main" id="{C41F2919-F902-4029-917F-5FA23468F438}"/>
            </a:ext>
          </a:extLst>
        </xdr:cNvPr>
        <xdr:cNvSpPr txBox="1"/>
      </xdr:nvSpPr>
      <xdr:spPr>
        <a:xfrm>
          <a:off x="6346032" y="261935"/>
          <a:ext cx="4016215" cy="6300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3600" b="1" baseline="0">
              <a:solidFill>
                <a:schemeClr val="bg1"/>
              </a:solidFill>
            </a:rPr>
            <a:t>SALES DASHBOARD</a:t>
          </a:r>
          <a:endParaRPr lang="en-ZA" sz="3600" b="1">
            <a:solidFill>
              <a:schemeClr val="bg1"/>
            </a:solidFill>
          </a:endParaRPr>
        </a:p>
      </xdr:txBody>
    </xdr:sp>
    <xdr:clientData/>
  </xdr:twoCellAnchor>
  <xdr:twoCellAnchor editAs="oneCell">
    <xdr:from>
      <xdr:col>0</xdr:col>
      <xdr:colOff>332899</xdr:colOff>
      <xdr:row>0</xdr:row>
      <xdr:rowOff>0</xdr:rowOff>
    </xdr:from>
    <xdr:to>
      <xdr:col>2</xdr:col>
      <xdr:colOff>154781</xdr:colOff>
      <xdr:row>5</xdr:row>
      <xdr:rowOff>145009</xdr:rowOff>
    </xdr:to>
    <xdr:pic>
      <xdr:nvPicPr>
        <xdr:cNvPr id="49" name="Picture 48">
          <a:extLst>
            <a:ext uri="{FF2B5EF4-FFF2-40B4-BE49-F238E27FC236}">
              <a16:creationId xmlns:a16="http://schemas.microsoft.com/office/drawing/2014/main" id="{05F1C035-9D27-4108-846F-84B3DD9081FC}"/>
            </a:ext>
          </a:extLst>
        </xdr:cNvPr>
        <xdr:cNvPicPr>
          <a:picLocks noChangeAspect="1"/>
        </xdr:cNvPicPr>
      </xdr:nvPicPr>
      <xdr:blipFill>
        <a:blip xmlns:r="http://schemas.openxmlformats.org/officeDocument/2006/relationships" r:embed="rId1"/>
        <a:stretch>
          <a:fillRect/>
        </a:stretch>
      </xdr:blipFill>
      <xdr:spPr>
        <a:xfrm>
          <a:off x="332899" y="0"/>
          <a:ext cx="1155382" cy="1158945"/>
        </a:xfrm>
        <a:prstGeom prst="rect">
          <a:avLst/>
        </a:prstGeom>
      </xdr:spPr>
    </xdr:pic>
    <xdr:clientData/>
  </xdr:twoCellAnchor>
  <xdr:twoCellAnchor>
    <xdr:from>
      <xdr:col>4</xdr:col>
      <xdr:colOff>283839</xdr:colOff>
      <xdr:row>7</xdr:row>
      <xdr:rowOff>19523</xdr:rowOff>
    </xdr:from>
    <xdr:to>
      <xdr:col>6</xdr:col>
      <xdr:colOff>297174</xdr:colOff>
      <xdr:row>8</xdr:row>
      <xdr:rowOff>165256</xdr:rowOff>
    </xdr:to>
    <xdr:sp macro="" textlink="">
      <xdr:nvSpPr>
        <xdr:cNvPr id="51" name="TextBox 50">
          <a:extLst>
            <a:ext uri="{FF2B5EF4-FFF2-40B4-BE49-F238E27FC236}">
              <a16:creationId xmlns:a16="http://schemas.microsoft.com/office/drawing/2014/main" id="{2DB04F14-6443-40E4-879D-928EDFA17022}"/>
            </a:ext>
          </a:extLst>
        </xdr:cNvPr>
        <xdr:cNvSpPr txBox="1"/>
      </xdr:nvSpPr>
      <xdr:spPr>
        <a:xfrm>
          <a:off x="2950839" y="1436367"/>
          <a:ext cx="1346835" cy="3481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400" b="1">
              <a:solidFill>
                <a:schemeClr val="bg1"/>
              </a:solidFill>
            </a:rPr>
            <a:t>TOTAL SALES</a:t>
          </a:r>
        </a:p>
      </xdr:txBody>
    </xdr:sp>
    <xdr:clientData/>
  </xdr:twoCellAnchor>
  <xdr:twoCellAnchor>
    <xdr:from>
      <xdr:col>4</xdr:col>
      <xdr:colOff>97156</xdr:colOff>
      <xdr:row>9</xdr:row>
      <xdr:rowOff>27620</xdr:rowOff>
    </xdr:from>
    <xdr:to>
      <xdr:col>6</xdr:col>
      <xdr:colOff>475768</xdr:colOff>
      <xdr:row>10</xdr:row>
      <xdr:rowOff>148111</xdr:rowOff>
    </xdr:to>
    <xdr:sp macro="" textlink="">
      <xdr:nvSpPr>
        <xdr:cNvPr id="53" name="TextBox 52">
          <a:extLst>
            <a:ext uri="{FF2B5EF4-FFF2-40B4-BE49-F238E27FC236}">
              <a16:creationId xmlns:a16="http://schemas.microsoft.com/office/drawing/2014/main" id="{F536EA14-21E8-4911-86E8-C421147A8AF4}"/>
            </a:ext>
          </a:extLst>
        </xdr:cNvPr>
        <xdr:cNvSpPr txBox="1"/>
      </xdr:nvSpPr>
      <xdr:spPr>
        <a:xfrm>
          <a:off x="2764156" y="1849276"/>
          <a:ext cx="1712112" cy="32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rPr>
            <a:t>R186,909,824</a:t>
          </a:r>
        </a:p>
      </xdr:txBody>
    </xdr:sp>
    <xdr:clientData/>
  </xdr:twoCellAnchor>
  <xdr:twoCellAnchor>
    <xdr:from>
      <xdr:col>9</xdr:col>
      <xdr:colOff>186214</xdr:colOff>
      <xdr:row>7</xdr:row>
      <xdr:rowOff>45238</xdr:rowOff>
    </xdr:from>
    <xdr:to>
      <xdr:col>12</xdr:col>
      <xdr:colOff>331469</xdr:colOff>
      <xdr:row>8</xdr:row>
      <xdr:rowOff>190971</xdr:rowOff>
    </xdr:to>
    <xdr:sp macro="" textlink="">
      <xdr:nvSpPr>
        <xdr:cNvPr id="54" name="TextBox 53">
          <a:extLst>
            <a:ext uri="{FF2B5EF4-FFF2-40B4-BE49-F238E27FC236}">
              <a16:creationId xmlns:a16="http://schemas.microsoft.com/office/drawing/2014/main" id="{513615F3-E0D6-4D0F-BF9C-34CD093223C5}"/>
            </a:ext>
          </a:extLst>
        </xdr:cNvPr>
        <xdr:cNvSpPr txBox="1"/>
      </xdr:nvSpPr>
      <xdr:spPr>
        <a:xfrm>
          <a:off x="6186964" y="1462082"/>
          <a:ext cx="2145505" cy="3481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400" b="1">
              <a:solidFill>
                <a:schemeClr val="bg1"/>
              </a:solidFill>
            </a:rPr>
            <a:t>TOTAL QUANTITY</a:t>
          </a:r>
          <a:r>
            <a:rPr lang="en-ZA" sz="1400" b="1" baseline="0">
              <a:solidFill>
                <a:schemeClr val="bg1"/>
              </a:solidFill>
            </a:rPr>
            <a:t> SOLD</a:t>
          </a:r>
          <a:endParaRPr lang="en-ZA" sz="1400" b="1">
            <a:solidFill>
              <a:schemeClr val="bg1"/>
            </a:solidFill>
          </a:endParaRPr>
        </a:p>
      </xdr:txBody>
    </xdr:sp>
    <xdr:clientData/>
  </xdr:twoCellAnchor>
  <xdr:twoCellAnchor>
    <xdr:from>
      <xdr:col>9</xdr:col>
      <xdr:colOff>577684</xdr:colOff>
      <xdr:row>9</xdr:row>
      <xdr:rowOff>17615</xdr:rowOff>
    </xdr:from>
    <xdr:to>
      <xdr:col>12</xdr:col>
      <xdr:colOff>3809</xdr:colOff>
      <xdr:row>10</xdr:row>
      <xdr:rowOff>136201</xdr:rowOff>
    </xdr:to>
    <xdr:sp macro="" textlink="">
      <xdr:nvSpPr>
        <xdr:cNvPr id="55" name="TextBox 54">
          <a:extLst>
            <a:ext uri="{FF2B5EF4-FFF2-40B4-BE49-F238E27FC236}">
              <a16:creationId xmlns:a16="http://schemas.microsoft.com/office/drawing/2014/main" id="{03B9DAC8-F6AE-4963-9D21-018A722798BB}"/>
            </a:ext>
          </a:extLst>
        </xdr:cNvPr>
        <xdr:cNvSpPr txBox="1"/>
      </xdr:nvSpPr>
      <xdr:spPr>
        <a:xfrm>
          <a:off x="6578434" y="1839271"/>
          <a:ext cx="1426375" cy="320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rPr>
            <a:t>5,279,872</a:t>
          </a:r>
        </a:p>
      </xdr:txBody>
    </xdr:sp>
    <xdr:clientData/>
  </xdr:twoCellAnchor>
  <xdr:twoCellAnchor>
    <xdr:from>
      <xdr:col>15</xdr:col>
      <xdr:colOff>414807</xdr:colOff>
      <xdr:row>9</xdr:row>
      <xdr:rowOff>15712</xdr:rowOff>
    </xdr:from>
    <xdr:to>
      <xdr:col>17</xdr:col>
      <xdr:colOff>238125</xdr:colOff>
      <xdr:row>10</xdr:row>
      <xdr:rowOff>122868</xdr:rowOff>
    </xdr:to>
    <xdr:sp macro="" textlink="">
      <xdr:nvSpPr>
        <xdr:cNvPr id="56" name="TextBox 55">
          <a:extLst>
            <a:ext uri="{FF2B5EF4-FFF2-40B4-BE49-F238E27FC236}">
              <a16:creationId xmlns:a16="http://schemas.microsoft.com/office/drawing/2014/main" id="{74772840-739A-48E8-B2C7-D27F18B04DB2}"/>
            </a:ext>
          </a:extLst>
        </xdr:cNvPr>
        <xdr:cNvSpPr txBox="1"/>
      </xdr:nvSpPr>
      <xdr:spPr>
        <a:xfrm>
          <a:off x="10416057" y="1837368"/>
          <a:ext cx="1156818" cy="309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rPr>
            <a:t>R37.01</a:t>
          </a:r>
        </a:p>
      </xdr:txBody>
    </xdr:sp>
    <xdr:clientData/>
  </xdr:twoCellAnchor>
  <xdr:twoCellAnchor>
    <xdr:from>
      <xdr:col>14</xdr:col>
      <xdr:colOff>591496</xdr:colOff>
      <xdr:row>7</xdr:row>
      <xdr:rowOff>61432</xdr:rowOff>
    </xdr:from>
    <xdr:to>
      <xdr:col>18</xdr:col>
      <xdr:colOff>64286</xdr:colOff>
      <xdr:row>9</xdr:row>
      <xdr:rowOff>2854</xdr:rowOff>
    </xdr:to>
    <xdr:sp macro="" textlink="">
      <xdr:nvSpPr>
        <xdr:cNvPr id="57" name="TextBox 56">
          <a:extLst>
            <a:ext uri="{FF2B5EF4-FFF2-40B4-BE49-F238E27FC236}">
              <a16:creationId xmlns:a16="http://schemas.microsoft.com/office/drawing/2014/main" id="{586C37D5-6F13-4E2D-BDAC-2AA40E06DCA0}"/>
            </a:ext>
          </a:extLst>
        </xdr:cNvPr>
        <xdr:cNvSpPr txBox="1"/>
      </xdr:nvSpPr>
      <xdr:spPr>
        <a:xfrm>
          <a:off x="9925996" y="1478276"/>
          <a:ext cx="2139790" cy="3462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400" b="1">
              <a:solidFill>
                <a:schemeClr val="bg1"/>
              </a:solidFill>
            </a:rPr>
            <a:t>AVG UNIT SALES PRICE</a:t>
          </a:r>
        </a:p>
      </xdr:txBody>
    </xdr:sp>
    <xdr:clientData/>
  </xdr:twoCellAnchor>
  <xdr:twoCellAnchor>
    <xdr:from>
      <xdr:col>20</xdr:col>
      <xdr:colOff>382904</xdr:colOff>
      <xdr:row>9</xdr:row>
      <xdr:rowOff>5711</xdr:rowOff>
    </xdr:from>
    <xdr:to>
      <xdr:col>22</xdr:col>
      <xdr:colOff>604843</xdr:colOff>
      <xdr:row>10</xdr:row>
      <xdr:rowOff>124297</xdr:rowOff>
    </xdr:to>
    <xdr:sp macro="" textlink="">
      <xdr:nvSpPr>
        <xdr:cNvPr id="58" name="TextBox 57">
          <a:extLst>
            <a:ext uri="{FF2B5EF4-FFF2-40B4-BE49-F238E27FC236}">
              <a16:creationId xmlns:a16="http://schemas.microsoft.com/office/drawing/2014/main" id="{EDE63410-5C70-4D40-8005-77C9EE5AC741}"/>
            </a:ext>
          </a:extLst>
        </xdr:cNvPr>
        <xdr:cNvSpPr txBox="1"/>
      </xdr:nvSpPr>
      <xdr:spPr>
        <a:xfrm>
          <a:off x="13717904" y="1827367"/>
          <a:ext cx="1555439" cy="320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rPr>
            <a:t>R846,678.39</a:t>
          </a:r>
        </a:p>
      </xdr:txBody>
    </xdr:sp>
    <xdr:clientData/>
  </xdr:twoCellAnchor>
  <xdr:twoCellAnchor>
    <xdr:from>
      <xdr:col>20</xdr:col>
      <xdr:colOff>246221</xdr:colOff>
      <xdr:row>7</xdr:row>
      <xdr:rowOff>21427</xdr:rowOff>
    </xdr:from>
    <xdr:to>
      <xdr:col>23</xdr:col>
      <xdr:colOff>393381</xdr:colOff>
      <xdr:row>8</xdr:row>
      <xdr:rowOff>172875</xdr:rowOff>
    </xdr:to>
    <xdr:sp macro="" textlink="">
      <xdr:nvSpPr>
        <xdr:cNvPr id="59" name="TextBox 58">
          <a:extLst>
            <a:ext uri="{FF2B5EF4-FFF2-40B4-BE49-F238E27FC236}">
              <a16:creationId xmlns:a16="http://schemas.microsoft.com/office/drawing/2014/main" id="{BAB64376-BAEC-43C9-A7F5-29E52ABD5F98}"/>
            </a:ext>
          </a:extLst>
        </xdr:cNvPr>
        <xdr:cNvSpPr txBox="1"/>
      </xdr:nvSpPr>
      <xdr:spPr>
        <a:xfrm>
          <a:off x="13581221" y="1438271"/>
          <a:ext cx="2147410" cy="3538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400" b="1">
              <a:solidFill>
                <a:schemeClr val="bg1"/>
              </a:solidFill>
            </a:rPr>
            <a:t>HIGHEST</a:t>
          </a:r>
          <a:r>
            <a:rPr lang="en-ZA" sz="1400" b="1" baseline="0">
              <a:solidFill>
                <a:schemeClr val="bg1"/>
              </a:solidFill>
            </a:rPr>
            <a:t> SALES DAY</a:t>
          </a:r>
          <a:endParaRPr lang="en-ZA" sz="1400" b="1">
            <a:solidFill>
              <a:schemeClr val="bg1"/>
            </a:solidFill>
          </a:endParaRPr>
        </a:p>
      </xdr:txBody>
    </xdr:sp>
    <xdr:clientData/>
  </xdr:twoCellAnchor>
  <xdr:twoCellAnchor editAs="oneCell">
    <xdr:from>
      <xdr:col>0</xdr:col>
      <xdr:colOff>178588</xdr:colOff>
      <xdr:row>7</xdr:row>
      <xdr:rowOff>37625</xdr:rowOff>
    </xdr:from>
    <xdr:to>
      <xdr:col>2</xdr:col>
      <xdr:colOff>343376</xdr:colOff>
      <xdr:row>14</xdr:row>
      <xdr:rowOff>177166</xdr:rowOff>
    </xdr:to>
    <mc:AlternateContent xmlns:mc="http://schemas.openxmlformats.org/markup-compatibility/2006" xmlns:a14="http://schemas.microsoft.com/office/drawing/2010/main">
      <mc:Choice Requires="a14">
        <xdr:graphicFrame macro="">
          <xdr:nvGraphicFramePr>
            <xdr:cNvPr id="60" name="year 1">
              <a:extLst>
                <a:ext uri="{FF2B5EF4-FFF2-40B4-BE49-F238E27FC236}">
                  <a16:creationId xmlns:a16="http://schemas.microsoft.com/office/drawing/2014/main" id="{9F7EFBD8-3DC4-4101-9441-86B812F68107}"/>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74778" y="1454469"/>
              <a:ext cx="1502098" cy="15525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134778</xdr:colOff>
      <xdr:row>14</xdr:row>
      <xdr:rowOff>188117</xdr:rowOff>
    </xdr:from>
    <xdr:to>
      <xdr:col>2</xdr:col>
      <xdr:colOff>370998</xdr:colOff>
      <xdr:row>30</xdr:row>
      <xdr:rowOff>166686</xdr:rowOff>
    </xdr:to>
    <mc:AlternateContent xmlns:mc="http://schemas.openxmlformats.org/markup-compatibility/2006" xmlns:a14="http://schemas.microsoft.com/office/drawing/2010/main">
      <mc:Choice Requires="a14">
        <xdr:graphicFrame macro="">
          <xdr:nvGraphicFramePr>
            <xdr:cNvPr id="61" name="month 1">
              <a:extLst>
                <a:ext uri="{FF2B5EF4-FFF2-40B4-BE49-F238E27FC236}">
                  <a16:creationId xmlns:a16="http://schemas.microsoft.com/office/drawing/2014/main" id="{D578A437-C118-4CCB-B56A-90DFE1C71467}"/>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30968" y="3021805"/>
              <a:ext cx="1571625" cy="3220879"/>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162401</xdr:colOff>
      <xdr:row>31</xdr:row>
      <xdr:rowOff>109062</xdr:rowOff>
    </xdr:from>
    <xdr:to>
      <xdr:col>2</xdr:col>
      <xdr:colOff>319564</xdr:colOff>
      <xdr:row>43</xdr:row>
      <xdr:rowOff>109062</xdr:rowOff>
    </xdr:to>
    <mc:AlternateContent xmlns:mc="http://schemas.openxmlformats.org/markup-compatibility/2006" xmlns:a14="http://schemas.microsoft.com/office/drawing/2010/main">
      <mc:Choice Requires="a14">
        <xdr:graphicFrame macro="">
          <xdr:nvGraphicFramePr>
            <xdr:cNvPr id="63" name="day_of_week 1">
              <a:extLst>
                <a:ext uri="{FF2B5EF4-FFF2-40B4-BE49-F238E27FC236}">
                  <a16:creationId xmlns:a16="http://schemas.microsoft.com/office/drawing/2014/main" id="{EF11D331-F2D6-4C1F-B103-52FAF9954828}"/>
                </a:ext>
              </a:extLst>
            </xdr:cNvPr>
            <xdr:cNvGraphicFramePr/>
          </xdr:nvGraphicFramePr>
          <xdr:xfrm>
            <a:off x="0" y="0"/>
            <a:ext cx="0" cy="0"/>
          </xdr:xfrm>
          <a:graphic>
            <a:graphicData uri="http://schemas.microsoft.com/office/drawing/2010/slicer">
              <sle:slicer xmlns:sle="http://schemas.microsoft.com/office/drawing/2010/slicer" name="day_of_week 1"/>
            </a:graphicData>
          </a:graphic>
        </xdr:graphicFrame>
      </mc:Choice>
      <mc:Fallback xmlns="">
        <xdr:sp macro="" textlink="">
          <xdr:nvSpPr>
            <xdr:cNvPr id="0" name=""/>
            <xdr:cNvSpPr>
              <a:spLocks noTextEdit="1"/>
            </xdr:cNvSpPr>
          </xdr:nvSpPr>
          <xdr:spPr>
            <a:xfrm>
              <a:off x="164306" y="6381751"/>
              <a:ext cx="1492568" cy="24288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516255</xdr:colOff>
      <xdr:row>12</xdr:row>
      <xdr:rowOff>85248</xdr:rowOff>
    </xdr:from>
    <xdr:to>
      <xdr:col>13</xdr:col>
      <xdr:colOff>206216</xdr:colOff>
      <xdr:row>27</xdr:row>
      <xdr:rowOff>23811</xdr:rowOff>
    </xdr:to>
    <xdr:graphicFrame macro="">
      <xdr:nvGraphicFramePr>
        <xdr:cNvPr id="65" name="Chart 64">
          <a:extLst>
            <a:ext uri="{FF2B5EF4-FFF2-40B4-BE49-F238E27FC236}">
              <a16:creationId xmlns:a16="http://schemas.microsoft.com/office/drawing/2014/main" id="{AC4D2F86-8049-4A0B-B09D-63FB5CEA93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401002</xdr:colOff>
      <xdr:row>12</xdr:row>
      <xdr:rowOff>89059</xdr:rowOff>
    </xdr:from>
    <xdr:to>
      <xdr:col>24</xdr:col>
      <xdr:colOff>95250</xdr:colOff>
      <xdr:row>27</xdr:row>
      <xdr:rowOff>19526</xdr:rowOff>
    </xdr:to>
    <xdr:graphicFrame macro="">
      <xdr:nvGraphicFramePr>
        <xdr:cNvPr id="67" name="Chart 66">
          <a:extLst>
            <a:ext uri="{FF2B5EF4-FFF2-40B4-BE49-F238E27FC236}">
              <a16:creationId xmlns:a16="http://schemas.microsoft.com/office/drawing/2014/main" id="{B8996686-CA60-4146-8CEE-1A65BB0FBD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500062</xdr:colOff>
      <xdr:row>28</xdr:row>
      <xdr:rowOff>15715</xdr:rowOff>
    </xdr:from>
    <xdr:to>
      <xdr:col>13</xdr:col>
      <xdr:colOff>170973</xdr:colOff>
      <xdr:row>43</xdr:row>
      <xdr:rowOff>154780</xdr:rowOff>
    </xdr:to>
    <xdr:graphicFrame macro="">
      <xdr:nvGraphicFramePr>
        <xdr:cNvPr id="68" name="Chart 67">
          <a:extLst>
            <a:ext uri="{FF2B5EF4-FFF2-40B4-BE49-F238E27FC236}">
              <a16:creationId xmlns:a16="http://schemas.microsoft.com/office/drawing/2014/main" id="{73ED9FC0-DEE6-42CA-A87F-B97C4BAF62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400526</xdr:colOff>
      <xdr:row>27</xdr:row>
      <xdr:rowOff>134780</xdr:rowOff>
    </xdr:from>
    <xdr:to>
      <xdr:col>24</xdr:col>
      <xdr:colOff>130492</xdr:colOff>
      <xdr:row>43</xdr:row>
      <xdr:rowOff>154781</xdr:rowOff>
    </xdr:to>
    <xdr:graphicFrame macro="">
      <xdr:nvGraphicFramePr>
        <xdr:cNvPr id="69" name="Chart 68">
          <a:extLst>
            <a:ext uri="{FF2B5EF4-FFF2-40B4-BE49-F238E27FC236}">
              <a16:creationId xmlns:a16="http://schemas.microsoft.com/office/drawing/2014/main" id="{3F5BE7F5-E3CA-47C2-A111-937B8F2E76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28094</xdr:colOff>
      <xdr:row>7</xdr:row>
      <xdr:rowOff>158589</xdr:rowOff>
    </xdr:from>
    <xdr:to>
      <xdr:col>3</xdr:col>
      <xdr:colOff>648647</xdr:colOff>
      <xdr:row>10</xdr:row>
      <xdr:rowOff>166687</xdr:rowOff>
    </xdr:to>
    <xdr:pic>
      <xdr:nvPicPr>
        <xdr:cNvPr id="70" name="Picture 69">
          <a:extLst>
            <a:ext uri="{FF2B5EF4-FFF2-40B4-BE49-F238E27FC236}">
              <a16:creationId xmlns:a16="http://schemas.microsoft.com/office/drawing/2014/main" id="{B13B32F6-9ECD-4D45-A6CB-28C261AD2887}"/>
            </a:ext>
          </a:extLst>
        </xdr:cNvPr>
        <xdr:cNvPicPr>
          <a:picLocks noChangeAspect="1"/>
        </xdr:cNvPicPr>
      </xdr:nvPicPr>
      <xdr:blipFill>
        <a:blip xmlns:r="http://schemas.openxmlformats.org/officeDocument/2006/relationships" r:embed="rId6">
          <a:lum bright="70000" contrast="-70000"/>
        </a:blip>
        <a:stretch>
          <a:fillRect/>
        </a:stretch>
      </xdr:blipFill>
      <xdr:spPr>
        <a:xfrm>
          <a:off x="2028344" y="1575433"/>
          <a:ext cx="620553" cy="615317"/>
        </a:xfrm>
        <a:prstGeom prst="rect">
          <a:avLst/>
        </a:prstGeom>
      </xdr:spPr>
    </xdr:pic>
    <xdr:clientData/>
  </xdr:twoCellAnchor>
  <xdr:twoCellAnchor editAs="oneCell">
    <xdr:from>
      <xdr:col>8</xdr:col>
      <xdr:colOff>252408</xdr:colOff>
      <xdr:row>7</xdr:row>
      <xdr:rowOff>200496</xdr:rowOff>
    </xdr:from>
    <xdr:to>
      <xdr:col>9</xdr:col>
      <xdr:colOff>209239</xdr:colOff>
      <xdr:row>11</xdr:row>
      <xdr:rowOff>10002</xdr:rowOff>
    </xdr:to>
    <xdr:pic>
      <xdr:nvPicPr>
        <xdr:cNvPr id="71" name="Picture 70">
          <a:extLst>
            <a:ext uri="{FF2B5EF4-FFF2-40B4-BE49-F238E27FC236}">
              <a16:creationId xmlns:a16="http://schemas.microsoft.com/office/drawing/2014/main" id="{93BE4E22-3FAF-4C7D-8A94-1F8BCC7BF5EB}"/>
            </a:ext>
          </a:extLst>
        </xdr:cNvPr>
        <xdr:cNvPicPr>
          <a:picLocks noChangeAspect="1"/>
        </xdr:cNvPicPr>
      </xdr:nvPicPr>
      <xdr:blipFill>
        <a:blip xmlns:r="http://schemas.openxmlformats.org/officeDocument/2006/relationships" r:embed="rId7">
          <a:lum bright="70000" contrast="-70000"/>
        </a:blip>
        <a:stretch>
          <a:fillRect/>
        </a:stretch>
      </xdr:blipFill>
      <xdr:spPr>
        <a:xfrm>
          <a:off x="5586408" y="1617340"/>
          <a:ext cx="623581" cy="619131"/>
        </a:xfrm>
        <a:prstGeom prst="rect">
          <a:avLst/>
        </a:prstGeom>
      </xdr:spPr>
    </xdr:pic>
    <xdr:clientData/>
  </xdr:twoCellAnchor>
  <xdr:twoCellAnchor editAs="oneCell">
    <xdr:from>
      <xdr:col>13</xdr:col>
      <xdr:colOff>617214</xdr:colOff>
      <xdr:row>7</xdr:row>
      <xdr:rowOff>190019</xdr:rowOff>
    </xdr:from>
    <xdr:to>
      <xdr:col>14</xdr:col>
      <xdr:colOff>569914</xdr:colOff>
      <xdr:row>10</xdr:row>
      <xdr:rowOff>200500</xdr:rowOff>
    </xdr:to>
    <xdr:pic>
      <xdr:nvPicPr>
        <xdr:cNvPr id="72" name="Picture 71">
          <a:extLst>
            <a:ext uri="{FF2B5EF4-FFF2-40B4-BE49-F238E27FC236}">
              <a16:creationId xmlns:a16="http://schemas.microsoft.com/office/drawing/2014/main" id="{31A80E5B-ACC1-4E74-A738-910FA1B0E967}"/>
            </a:ext>
          </a:extLst>
        </xdr:cNvPr>
        <xdr:cNvPicPr>
          <a:picLocks noChangeAspect="1"/>
        </xdr:cNvPicPr>
      </xdr:nvPicPr>
      <xdr:blipFill>
        <a:blip xmlns:r="http://schemas.openxmlformats.org/officeDocument/2006/relationships" r:embed="rId8">
          <a:lum bright="70000" contrast="-70000"/>
        </a:blip>
        <a:stretch>
          <a:fillRect/>
        </a:stretch>
      </xdr:blipFill>
      <xdr:spPr>
        <a:xfrm>
          <a:off x="9284964" y="1606863"/>
          <a:ext cx="619450" cy="617700"/>
        </a:xfrm>
        <a:prstGeom prst="rect">
          <a:avLst/>
        </a:prstGeom>
      </xdr:spPr>
    </xdr:pic>
    <xdr:clientData/>
  </xdr:twoCellAnchor>
  <xdr:twoCellAnchor editAs="oneCell">
    <xdr:from>
      <xdr:col>19</xdr:col>
      <xdr:colOff>147160</xdr:colOff>
      <xdr:row>7</xdr:row>
      <xdr:rowOff>80958</xdr:rowOff>
    </xdr:from>
    <xdr:to>
      <xdr:col>20</xdr:col>
      <xdr:colOff>187553</xdr:colOff>
      <xdr:row>10</xdr:row>
      <xdr:rowOff>180498</xdr:rowOff>
    </xdr:to>
    <xdr:pic>
      <xdr:nvPicPr>
        <xdr:cNvPr id="73" name="Picture 72">
          <a:extLst>
            <a:ext uri="{FF2B5EF4-FFF2-40B4-BE49-F238E27FC236}">
              <a16:creationId xmlns:a16="http://schemas.microsoft.com/office/drawing/2014/main" id="{C2DC8E31-F365-44ED-AE71-D1883537AAE3}"/>
            </a:ext>
          </a:extLst>
        </xdr:cNvPr>
        <xdr:cNvPicPr>
          <a:picLocks noChangeAspect="1"/>
        </xdr:cNvPicPr>
      </xdr:nvPicPr>
      <xdr:blipFill>
        <a:blip xmlns:r="http://schemas.openxmlformats.org/officeDocument/2006/relationships" r:embed="rId9">
          <a:lum bright="70000" contrast="-70000"/>
        </a:blip>
        <a:stretch>
          <a:fillRect/>
        </a:stretch>
      </xdr:blipFill>
      <xdr:spPr>
        <a:xfrm>
          <a:off x="12815410" y="1497802"/>
          <a:ext cx="707143" cy="70675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53810</xdr:colOff>
      <xdr:row>0</xdr:row>
      <xdr:rowOff>35715</xdr:rowOff>
    </xdr:from>
    <xdr:to>
      <xdr:col>24</xdr:col>
      <xdr:colOff>212000</xdr:colOff>
      <xdr:row>44</xdr:row>
      <xdr:rowOff>93840</xdr:rowOff>
    </xdr:to>
    <xdr:sp macro="" textlink="">
      <xdr:nvSpPr>
        <xdr:cNvPr id="2" name="Rectangle: Rounded Corners 1">
          <a:extLst>
            <a:ext uri="{FF2B5EF4-FFF2-40B4-BE49-F238E27FC236}">
              <a16:creationId xmlns:a16="http://schemas.microsoft.com/office/drawing/2014/main" id="{B5E1F156-DB8A-401E-8702-58FAFD55ECF1}"/>
            </a:ext>
          </a:extLst>
        </xdr:cNvPr>
        <xdr:cNvSpPr/>
      </xdr:nvSpPr>
      <xdr:spPr>
        <a:xfrm>
          <a:off x="57620" y="35715"/>
          <a:ext cx="16152570" cy="8863035"/>
        </a:xfrm>
        <a:prstGeom prst="roundRect">
          <a:avLst>
            <a:gd name="adj" fmla="val 730"/>
          </a:avLst>
        </a:prstGeom>
        <a:ln w="9525"/>
      </xdr:spPr>
      <xdr:style>
        <a:lnRef idx="2">
          <a:schemeClr val="dk1"/>
        </a:lnRef>
        <a:fillRef idx="1">
          <a:schemeClr val="lt1"/>
        </a:fillRef>
        <a:effectRef idx="0">
          <a:schemeClr val="dk1"/>
        </a:effectRef>
        <a:fontRef idx="minor">
          <a:schemeClr val="dk1"/>
        </a:fontRef>
      </xdr:style>
      <xdr:txBody>
        <a:bodyPr rtlCol="0" anchor="ctr"/>
        <a:lstStyle/>
        <a:p>
          <a:pPr algn="l"/>
          <a:endParaRPr lang="en-ZA" sz="1100"/>
        </a:p>
      </xdr:txBody>
    </xdr:sp>
    <xdr:clientData/>
  </xdr:twoCellAnchor>
  <xdr:twoCellAnchor>
    <xdr:from>
      <xdr:col>0</xdr:col>
      <xdr:colOff>96679</xdr:colOff>
      <xdr:row>0</xdr:row>
      <xdr:rowOff>53816</xdr:rowOff>
    </xdr:from>
    <xdr:to>
      <xdr:col>2</xdr:col>
      <xdr:colOff>416719</xdr:colOff>
      <xdr:row>5</xdr:row>
      <xdr:rowOff>190500</xdr:rowOff>
    </xdr:to>
    <xdr:sp macro="" textlink="">
      <xdr:nvSpPr>
        <xdr:cNvPr id="3" name="Rectangle: Rounded Corners 2">
          <a:extLst>
            <a:ext uri="{FF2B5EF4-FFF2-40B4-BE49-F238E27FC236}">
              <a16:creationId xmlns:a16="http://schemas.microsoft.com/office/drawing/2014/main" id="{E3FAA38C-BCE1-4B36-A853-CB84E9087764}"/>
            </a:ext>
          </a:extLst>
        </xdr:cNvPr>
        <xdr:cNvSpPr/>
      </xdr:nvSpPr>
      <xdr:spPr>
        <a:xfrm>
          <a:off x="92869" y="57626"/>
          <a:ext cx="1657350" cy="1132999"/>
        </a:xfrm>
        <a:prstGeom prst="roundRect">
          <a:avLst>
            <a:gd name="adj" fmla="val 20050"/>
          </a:avLst>
        </a:prstGeom>
        <a:solidFill>
          <a:schemeClr val="accent1">
            <a:lumMod val="75000"/>
          </a:schemeClr>
        </a:solidFill>
        <a:effectLst>
          <a:outerShdw blurRad="50800" dist="38100" dir="2700000" algn="tl" rotWithShape="0">
            <a:prstClr val="black">
              <a:alpha val="40000"/>
            </a:prstClr>
          </a:outerShdw>
        </a:effectLst>
      </xdr:spPr>
      <xdr:style>
        <a:lnRef idx="1">
          <a:schemeClr val="accent5"/>
        </a:lnRef>
        <a:fillRef idx="3">
          <a:schemeClr val="accent5"/>
        </a:fillRef>
        <a:effectRef idx="2">
          <a:schemeClr val="accent5"/>
        </a:effectRef>
        <a:fontRef idx="minor">
          <a:schemeClr val="lt1"/>
        </a:fontRef>
      </xdr:style>
      <xdr:txBody>
        <a:bodyPr rtlCol="0" anchor="ctr"/>
        <a:lstStyle/>
        <a:p>
          <a:pPr algn="l"/>
          <a:endParaRPr lang="en-ZA" sz="1100"/>
        </a:p>
      </xdr:txBody>
    </xdr:sp>
    <xdr:clientData/>
  </xdr:twoCellAnchor>
  <xdr:twoCellAnchor>
    <xdr:from>
      <xdr:col>2</xdr:col>
      <xdr:colOff>515779</xdr:colOff>
      <xdr:row>0</xdr:row>
      <xdr:rowOff>55718</xdr:rowOff>
    </xdr:from>
    <xdr:to>
      <xdr:col>24</xdr:col>
      <xdr:colOff>131445</xdr:colOff>
      <xdr:row>6</xdr:row>
      <xdr:rowOff>1425</xdr:rowOff>
    </xdr:to>
    <xdr:sp macro="" textlink="">
      <xdr:nvSpPr>
        <xdr:cNvPr id="4" name="Rectangle: Rounded Corners 3">
          <a:extLst>
            <a:ext uri="{FF2B5EF4-FFF2-40B4-BE49-F238E27FC236}">
              <a16:creationId xmlns:a16="http://schemas.microsoft.com/office/drawing/2014/main" id="{972B47DF-0B3D-4BD9-A959-E291A46A12DD}"/>
            </a:ext>
          </a:extLst>
        </xdr:cNvPr>
        <xdr:cNvSpPr/>
      </xdr:nvSpPr>
      <xdr:spPr>
        <a:xfrm>
          <a:off x="1845469" y="59528"/>
          <a:ext cx="14291786" cy="1142047"/>
        </a:xfrm>
        <a:prstGeom prst="roundRect">
          <a:avLst>
            <a:gd name="adj" fmla="val 20050"/>
          </a:avLst>
        </a:prstGeom>
        <a:solidFill>
          <a:schemeClr val="accent1">
            <a:lumMod val="75000"/>
          </a:schemeClr>
        </a:solidFill>
        <a:effectLst>
          <a:outerShdw blurRad="50800" dist="38100" dir="2700000" algn="tl" rotWithShape="0">
            <a:prstClr val="black">
              <a:alpha val="40000"/>
            </a:prstClr>
          </a:outerShdw>
        </a:effectLst>
      </xdr:spPr>
      <xdr:style>
        <a:lnRef idx="1">
          <a:schemeClr val="accent5"/>
        </a:lnRef>
        <a:fillRef idx="3">
          <a:schemeClr val="accent5"/>
        </a:fillRef>
        <a:effectRef idx="2">
          <a:schemeClr val="accent5"/>
        </a:effectRef>
        <a:fontRef idx="minor">
          <a:schemeClr val="lt1"/>
        </a:fontRef>
      </xdr:style>
      <xdr:txBody>
        <a:bodyPr rtlCol="0" anchor="ctr"/>
        <a:lstStyle/>
        <a:p>
          <a:pPr algn="l"/>
          <a:endParaRPr lang="en-ZA" sz="1100"/>
        </a:p>
      </xdr:txBody>
    </xdr:sp>
    <xdr:clientData/>
  </xdr:twoCellAnchor>
  <xdr:twoCellAnchor>
    <xdr:from>
      <xdr:col>0</xdr:col>
      <xdr:colOff>93339</xdr:colOff>
      <xdr:row>6</xdr:row>
      <xdr:rowOff>83344</xdr:rowOff>
    </xdr:from>
    <xdr:to>
      <xdr:col>2</xdr:col>
      <xdr:colOff>409569</xdr:colOff>
      <xdr:row>44</xdr:row>
      <xdr:rowOff>20003</xdr:rowOff>
    </xdr:to>
    <xdr:sp macro="" textlink="">
      <xdr:nvSpPr>
        <xdr:cNvPr id="5" name="Rectangle: Rounded Corners 4">
          <a:extLst>
            <a:ext uri="{FF2B5EF4-FFF2-40B4-BE49-F238E27FC236}">
              <a16:creationId xmlns:a16="http://schemas.microsoft.com/office/drawing/2014/main" id="{D8A4F785-E96E-4CA9-8A51-E7FD116BF083}"/>
            </a:ext>
          </a:extLst>
        </xdr:cNvPr>
        <xdr:cNvSpPr/>
      </xdr:nvSpPr>
      <xdr:spPr>
        <a:xfrm>
          <a:off x="97149" y="1285399"/>
          <a:ext cx="1644015" cy="7531894"/>
        </a:xfrm>
        <a:prstGeom prst="roundRect">
          <a:avLst>
            <a:gd name="adj" fmla="val 20050"/>
          </a:avLst>
        </a:prstGeom>
        <a:solidFill>
          <a:schemeClr val="accent1">
            <a:lumMod val="75000"/>
          </a:schemeClr>
        </a:solidFill>
        <a:effectLst>
          <a:outerShdw blurRad="50800" dist="38100" dir="2700000" algn="tl" rotWithShape="0">
            <a:prstClr val="black">
              <a:alpha val="40000"/>
            </a:prstClr>
          </a:outerShdw>
        </a:effectLst>
      </xdr:spPr>
      <xdr:style>
        <a:lnRef idx="1">
          <a:schemeClr val="accent5"/>
        </a:lnRef>
        <a:fillRef idx="3">
          <a:schemeClr val="accent5"/>
        </a:fillRef>
        <a:effectRef idx="2">
          <a:schemeClr val="accent5"/>
        </a:effectRef>
        <a:fontRef idx="minor">
          <a:schemeClr val="lt1"/>
        </a:fontRef>
      </xdr:style>
      <xdr:txBody>
        <a:bodyPr rtlCol="0" anchor="ctr"/>
        <a:lstStyle/>
        <a:p>
          <a:pPr algn="l"/>
          <a:endParaRPr lang="en-ZA" sz="1100"/>
        </a:p>
      </xdr:txBody>
    </xdr:sp>
    <xdr:clientData/>
  </xdr:twoCellAnchor>
  <xdr:twoCellAnchor>
    <xdr:from>
      <xdr:col>18</xdr:col>
      <xdr:colOff>642937</xdr:colOff>
      <xdr:row>6</xdr:row>
      <xdr:rowOff>92864</xdr:rowOff>
    </xdr:from>
    <xdr:to>
      <xdr:col>24</xdr:col>
      <xdr:colOff>98100</xdr:colOff>
      <xdr:row>11</xdr:row>
      <xdr:rowOff>174307</xdr:rowOff>
    </xdr:to>
    <xdr:sp macro="" textlink="">
      <xdr:nvSpPr>
        <xdr:cNvPr id="6" name="Rectangle: Rounded Corners 5">
          <a:extLst>
            <a:ext uri="{FF2B5EF4-FFF2-40B4-BE49-F238E27FC236}">
              <a16:creationId xmlns:a16="http://schemas.microsoft.com/office/drawing/2014/main" id="{AA60C3E3-7B31-41F7-AB2A-F8A7CBE26AF8}"/>
            </a:ext>
          </a:extLst>
        </xdr:cNvPr>
        <xdr:cNvSpPr/>
      </xdr:nvSpPr>
      <xdr:spPr>
        <a:xfrm>
          <a:off x="12642532" y="1296824"/>
          <a:ext cx="3453758" cy="1073948"/>
        </a:xfrm>
        <a:prstGeom prst="roundRect">
          <a:avLst>
            <a:gd name="adj" fmla="val 20050"/>
          </a:avLst>
        </a:prstGeom>
        <a:solidFill>
          <a:schemeClr val="accent1">
            <a:lumMod val="75000"/>
          </a:schemeClr>
        </a:solidFill>
        <a:effectLst>
          <a:outerShdw blurRad="50800" dist="38100" dir="2700000" algn="tl" rotWithShape="0">
            <a:prstClr val="black">
              <a:alpha val="40000"/>
            </a:prstClr>
          </a:outerShdw>
        </a:effectLst>
      </xdr:spPr>
      <xdr:style>
        <a:lnRef idx="1">
          <a:schemeClr val="accent5"/>
        </a:lnRef>
        <a:fillRef idx="3">
          <a:schemeClr val="accent5"/>
        </a:fillRef>
        <a:effectRef idx="2">
          <a:schemeClr val="accent5"/>
        </a:effectRef>
        <a:fontRef idx="minor">
          <a:schemeClr val="lt1"/>
        </a:fontRef>
      </xdr:style>
      <xdr:txBody>
        <a:bodyPr rtlCol="0" anchor="ctr"/>
        <a:lstStyle/>
        <a:p>
          <a:pPr algn="l"/>
          <a:endParaRPr lang="en-ZA" sz="1100"/>
        </a:p>
      </xdr:txBody>
    </xdr:sp>
    <xdr:clientData/>
  </xdr:twoCellAnchor>
  <xdr:twoCellAnchor>
    <xdr:from>
      <xdr:col>13</xdr:col>
      <xdr:colOff>379089</xdr:colOff>
      <xdr:row>6</xdr:row>
      <xdr:rowOff>120963</xdr:rowOff>
    </xdr:from>
    <xdr:to>
      <xdr:col>18</xdr:col>
      <xdr:colOff>491477</xdr:colOff>
      <xdr:row>11</xdr:row>
      <xdr:rowOff>190976</xdr:rowOff>
    </xdr:to>
    <xdr:sp macro="" textlink="">
      <xdr:nvSpPr>
        <xdr:cNvPr id="7" name="Rectangle: Rounded Corners 6">
          <a:extLst>
            <a:ext uri="{FF2B5EF4-FFF2-40B4-BE49-F238E27FC236}">
              <a16:creationId xmlns:a16="http://schemas.microsoft.com/office/drawing/2014/main" id="{A2A3F8D3-2D3C-464A-BA8B-A7D0D61C3895}"/>
            </a:ext>
          </a:extLst>
        </xdr:cNvPr>
        <xdr:cNvSpPr/>
      </xdr:nvSpPr>
      <xdr:spPr>
        <a:xfrm>
          <a:off x="9046839" y="1323018"/>
          <a:ext cx="3444233" cy="1068233"/>
        </a:xfrm>
        <a:prstGeom prst="roundRect">
          <a:avLst>
            <a:gd name="adj" fmla="val 20050"/>
          </a:avLst>
        </a:prstGeom>
        <a:solidFill>
          <a:schemeClr val="accent1">
            <a:lumMod val="75000"/>
          </a:schemeClr>
        </a:solidFill>
        <a:effectLst>
          <a:outerShdw blurRad="50800" dist="38100" dir="2700000" algn="tl" rotWithShape="0">
            <a:prstClr val="black">
              <a:alpha val="40000"/>
            </a:prstClr>
          </a:outerShdw>
        </a:effectLst>
      </xdr:spPr>
      <xdr:style>
        <a:lnRef idx="1">
          <a:schemeClr val="accent5"/>
        </a:lnRef>
        <a:fillRef idx="3">
          <a:schemeClr val="accent5"/>
        </a:fillRef>
        <a:effectRef idx="2">
          <a:schemeClr val="accent5"/>
        </a:effectRef>
        <a:fontRef idx="minor">
          <a:schemeClr val="lt1"/>
        </a:fontRef>
      </xdr:style>
      <xdr:txBody>
        <a:bodyPr rtlCol="0" anchor="ctr"/>
        <a:lstStyle/>
        <a:p>
          <a:pPr algn="l"/>
          <a:endParaRPr lang="en-ZA" sz="1100"/>
        </a:p>
      </xdr:txBody>
    </xdr:sp>
    <xdr:clientData/>
  </xdr:twoCellAnchor>
  <xdr:twoCellAnchor>
    <xdr:from>
      <xdr:col>8</xdr:col>
      <xdr:colOff>87624</xdr:colOff>
      <xdr:row>6</xdr:row>
      <xdr:rowOff>112865</xdr:rowOff>
    </xdr:from>
    <xdr:to>
      <xdr:col>13</xdr:col>
      <xdr:colOff>209537</xdr:colOff>
      <xdr:row>11</xdr:row>
      <xdr:rowOff>177163</xdr:rowOff>
    </xdr:to>
    <xdr:sp macro="" textlink="">
      <xdr:nvSpPr>
        <xdr:cNvPr id="8" name="Rectangle: Rounded Corners 7">
          <a:extLst>
            <a:ext uri="{FF2B5EF4-FFF2-40B4-BE49-F238E27FC236}">
              <a16:creationId xmlns:a16="http://schemas.microsoft.com/office/drawing/2014/main" id="{A351627E-8FE1-4284-BADB-8AB1BEE99E7A}"/>
            </a:ext>
          </a:extLst>
        </xdr:cNvPr>
        <xdr:cNvSpPr/>
      </xdr:nvSpPr>
      <xdr:spPr>
        <a:xfrm>
          <a:off x="5423529" y="1313015"/>
          <a:ext cx="3457568" cy="1060613"/>
        </a:xfrm>
        <a:prstGeom prst="roundRect">
          <a:avLst>
            <a:gd name="adj" fmla="val 20050"/>
          </a:avLst>
        </a:prstGeom>
        <a:solidFill>
          <a:schemeClr val="accent1">
            <a:lumMod val="75000"/>
          </a:schemeClr>
        </a:solidFill>
        <a:effectLst>
          <a:outerShdw blurRad="50800" dist="38100" dir="2700000" algn="tl" rotWithShape="0">
            <a:prstClr val="black">
              <a:alpha val="40000"/>
            </a:prstClr>
          </a:outerShdw>
        </a:effectLst>
      </xdr:spPr>
      <xdr:style>
        <a:lnRef idx="1">
          <a:schemeClr val="accent5"/>
        </a:lnRef>
        <a:fillRef idx="3">
          <a:schemeClr val="accent5"/>
        </a:fillRef>
        <a:effectRef idx="2">
          <a:schemeClr val="accent5"/>
        </a:effectRef>
        <a:fontRef idx="minor">
          <a:schemeClr val="lt1"/>
        </a:fontRef>
      </xdr:style>
      <xdr:txBody>
        <a:bodyPr rtlCol="0" anchor="ctr"/>
        <a:lstStyle/>
        <a:p>
          <a:pPr algn="l"/>
          <a:endParaRPr lang="en-ZA" sz="1100"/>
        </a:p>
      </xdr:txBody>
    </xdr:sp>
    <xdr:clientData/>
  </xdr:twoCellAnchor>
  <xdr:twoCellAnchor>
    <xdr:from>
      <xdr:col>2</xdr:col>
      <xdr:colOff>496246</xdr:colOff>
      <xdr:row>6</xdr:row>
      <xdr:rowOff>110963</xdr:rowOff>
    </xdr:from>
    <xdr:to>
      <xdr:col>7</xdr:col>
      <xdr:colOff>610539</xdr:colOff>
      <xdr:row>11</xdr:row>
      <xdr:rowOff>167641</xdr:rowOff>
    </xdr:to>
    <xdr:sp macro="" textlink="">
      <xdr:nvSpPr>
        <xdr:cNvPr id="9" name="Rectangle: Rounded Corners 8">
          <a:extLst>
            <a:ext uri="{FF2B5EF4-FFF2-40B4-BE49-F238E27FC236}">
              <a16:creationId xmlns:a16="http://schemas.microsoft.com/office/drawing/2014/main" id="{DACBA406-5AAE-4340-BA97-8E58B9CED22A}"/>
            </a:ext>
          </a:extLst>
        </xdr:cNvPr>
        <xdr:cNvSpPr/>
      </xdr:nvSpPr>
      <xdr:spPr>
        <a:xfrm>
          <a:off x="1829746" y="1311113"/>
          <a:ext cx="3448043" cy="1060613"/>
        </a:xfrm>
        <a:prstGeom prst="roundRect">
          <a:avLst>
            <a:gd name="adj" fmla="val 20050"/>
          </a:avLst>
        </a:prstGeom>
        <a:solidFill>
          <a:schemeClr val="accent1">
            <a:lumMod val="75000"/>
          </a:schemeClr>
        </a:solidFill>
        <a:effectLst>
          <a:outerShdw blurRad="50800" dist="38100" dir="2700000" algn="tl" rotWithShape="0">
            <a:prstClr val="black">
              <a:alpha val="40000"/>
            </a:prstClr>
          </a:outerShdw>
        </a:effectLst>
      </xdr:spPr>
      <xdr:style>
        <a:lnRef idx="1">
          <a:schemeClr val="accent5"/>
        </a:lnRef>
        <a:fillRef idx="3">
          <a:schemeClr val="accent5"/>
        </a:fillRef>
        <a:effectRef idx="2">
          <a:schemeClr val="accent5"/>
        </a:effectRef>
        <a:fontRef idx="minor">
          <a:schemeClr val="lt1"/>
        </a:fontRef>
      </xdr:style>
      <xdr:txBody>
        <a:bodyPr rtlCol="0" anchor="ctr"/>
        <a:lstStyle/>
        <a:p>
          <a:pPr algn="l"/>
          <a:endParaRPr lang="en-ZA" sz="1100"/>
        </a:p>
      </xdr:txBody>
    </xdr:sp>
    <xdr:clientData/>
  </xdr:twoCellAnchor>
  <xdr:twoCellAnchor>
    <xdr:from>
      <xdr:col>13</xdr:col>
      <xdr:colOff>363372</xdr:colOff>
      <xdr:row>12</xdr:row>
      <xdr:rowOff>69529</xdr:rowOff>
    </xdr:from>
    <xdr:to>
      <xdr:col>24</xdr:col>
      <xdr:colOff>130969</xdr:colOff>
      <xdr:row>27</xdr:row>
      <xdr:rowOff>39525</xdr:rowOff>
    </xdr:to>
    <xdr:sp macro="" textlink="">
      <xdr:nvSpPr>
        <xdr:cNvPr id="10" name="Rectangle: Rounded Corners 9">
          <a:extLst>
            <a:ext uri="{FF2B5EF4-FFF2-40B4-BE49-F238E27FC236}">
              <a16:creationId xmlns:a16="http://schemas.microsoft.com/office/drawing/2014/main" id="{A4B0901E-A7EE-47D0-9D3A-143B464ABE45}"/>
            </a:ext>
          </a:extLst>
        </xdr:cNvPr>
        <xdr:cNvSpPr/>
      </xdr:nvSpPr>
      <xdr:spPr>
        <a:xfrm>
          <a:off x="9027312" y="2467924"/>
          <a:ext cx="7109467" cy="2972276"/>
        </a:xfrm>
        <a:prstGeom prst="roundRect">
          <a:avLst>
            <a:gd name="adj" fmla="val 10117"/>
          </a:avLst>
        </a:prstGeom>
        <a:solidFill>
          <a:schemeClr val="accent1">
            <a:lumMod val="75000"/>
          </a:schemeClr>
        </a:solidFill>
        <a:effectLst>
          <a:outerShdw blurRad="50800" dist="38100" dir="2700000" algn="tl" rotWithShape="0">
            <a:prstClr val="black">
              <a:alpha val="40000"/>
            </a:prstClr>
          </a:outerShdw>
        </a:effectLst>
      </xdr:spPr>
      <xdr:style>
        <a:lnRef idx="1">
          <a:schemeClr val="accent5"/>
        </a:lnRef>
        <a:fillRef idx="3">
          <a:schemeClr val="accent5"/>
        </a:fillRef>
        <a:effectRef idx="2">
          <a:schemeClr val="accent5"/>
        </a:effectRef>
        <a:fontRef idx="minor">
          <a:schemeClr val="lt1"/>
        </a:fontRef>
      </xdr:style>
      <xdr:txBody>
        <a:bodyPr rtlCol="0" anchor="ctr"/>
        <a:lstStyle/>
        <a:p>
          <a:pPr algn="l"/>
          <a:endParaRPr lang="en-ZA" sz="1100"/>
        </a:p>
      </xdr:txBody>
    </xdr:sp>
    <xdr:clientData/>
  </xdr:twoCellAnchor>
  <xdr:twoCellAnchor>
    <xdr:from>
      <xdr:col>2</xdr:col>
      <xdr:colOff>458622</xdr:colOff>
      <xdr:row>27</xdr:row>
      <xdr:rowOff>166687</xdr:rowOff>
    </xdr:from>
    <xdr:to>
      <xdr:col>13</xdr:col>
      <xdr:colOff>226219</xdr:colOff>
      <xdr:row>44</xdr:row>
      <xdr:rowOff>948</xdr:rowOff>
    </xdr:to>
    <xdr:sp macro="" textlink="">
      <xdr:nvSpPr>
        <xdr:cNvPr id="11" name="Rectangle: Rounded Corners 10">
          <a:extLst>
            <a:ext uri="{FF2B5EF4-FFF2-40B4-BE49-F238E27FC236}">
              <a16:creationId xmlns:a16="http://schemas.microsoft.com/office/drawing/2014/main" id="{2C2A178C-3F4D-47B9-B387-D767C1D4C9C4}"/>
            </a:ext>
          </a:extLst>
        </xdr:cNvPr>
        <xdr:cNvSpPr/>
      </xdr:nvSpPr>
      <xdr:spPr>
        <a:xfrm>
          <a:off x="1792122" y="5571172"/>
          <a:ext cx="7101847" cy="3230876"/>
        </a:xfrm>
        <a:prstGeom prst="roundRect">
          <a:avLst>
            <a:gd name="adj" fmla="val 10117"/>
          </a:avLst>
        </a:prstGeom>
        <a:solidFill>
          <a:schemeClr val="accent1">
            <a:lumMod val="75000"/>
          </a:schemeClr>
        </a:solidFill>
        <a:effectLst>
          <a:outerShdw blurRad="50800" dist="38100" dir="2700000" algn="tl" rotWithShape="0">
            <a:prstClr val="black">
              <a:alpha val="40000"/>
            </a:prstClr>
          </a:outerShdw>
        </a:effectLst>
      </xdr:spPr>
      <xdr:style>
        <a:lnRef idx="1">
          <a:schemeClr val="accent5"/>
        </a:lnRef>
        <a:fillRef idx="3">
          <a:schemeClr val="accent5"/>
        </a:fillRef>
        <a:effectRef idx="2">
          <a:schemeClr val="accent5"/>
        </a:effectRef>
        <a:fontRef idx="minor">
          <a:schemeClr val="lt1"/>
        </a:fontRef>
      </xdr:style>
      <xdr:txBody>
        <a:bodyPr rtlCol="0" anchor="ctr"/>
        <a:lstStyle/>
        <a:p>
          <a:pPr algn="l"/>
          <a:endParaRPr lang="en-ZA" sz="1100"/>
        </a:p>
      </xdr:txBody>
    </xdr:sp>
    <xdr:clientData/>
  </xdr:twoCellAnchor>
  <xdr:twoCellAnchor>
    <xdr:from>
      <xdr:col>13</xdr:col>
      <xdr:colOff>359563</xdr:colOff>
      <xdr:row>27</xdr:row>
      <xdr:rowOff>140970</xdr:rowOff>
    </xdr:from>
    <xdr:to>
      <xdr:col>24</xdr:col>
      <xdr:colOff>136685</xdr:colOff>
      <xdr:row>44</xdr:row>
      <xdr:rowOff>17137</xdr:rowOff>
    </xdr:to>
    <xdr:sp macro="" textlink="">
      <xdr:nvSpPr>
        <xdr:cNvPr id="12" name="Rectangle: Rounded Corners 11">
          <a:extLst>
            <a:ext uri="{FF2B5EF4-FFF2-40B4-BE49-F238E27FC236}">
              <a16:creationId xmlns:a16="http://schemas.microsoft.com/office/drawing/2014/main" id="{2A0C3820-671A-4654-B2F7-0C8AD0588619}"/>
            </a:ext>
          </a:extLst>
        </xdr:cNvPr>
        <xdr:cNvSpPr/>
      </xdr:nvSpPr>
      <xdr:spPr>
        <a:xfrm>
          <a:off x="9027313" y="5605939"/>
          <a:ext cx="7111372" cy="3317073"/>
        </a:xfrm>
        <a:prstGeom prst="roundRect">
          <a:avLst>
            <a:gd name="adj" fmla="val 10117"/>
          </a:avLst>
        </a:prstGeom>
        <a:solidFill>
          <a:schemeClr val="accent1">
            <a:lumMod val="75000"/>
          </a:schemeClr>
        </a:solidFill>
        <a:effectLst>
          <a:outerShdw blurRad="50800" dist="38100" dir="2700000" algn="tl" rotWithShape="0">
            <a:prstClr val="black">
              <a:alpha val="40000"/>
            </a:prstClr>
          </a:outerShdw>
        </a:effectLst>
      </xdr:spPr>
      <xdr:style>
        <a:lnRef idx="1">
          <a:schemeClr val="accent5"/>
        </a:lnRef>
        <a:fillRef idx="3">
          <a:schemeClr val="accent5"/>
        </a:fillRef>
        <a:effectRef idx="2">
          <a:schemeClr val="accent5"/>
        </a:effectRef>
        <a:fontRef idx="minor">
          <a:schemeClr val="lt1"/>
        </a:fontRef>
      </xdr:style>
      <xdr:txBody>
        <a:bodyPr rtlCol="0" anchor="ctr"/>
        <a:lstStyle/>
        <a:p>
          <a:pPr algn="l"/>
          <a:endParaRPr lang="en-ZA" sz="1100"/>
        </a:p>
      </xdr:txBody>
    </xdr:sp>
    <xdr:clientData/>
  </xdr:twoCellAnchor>
  <xdr:twoCellAnchor>
    <xdr:from>
      <xdr:col>2</xdr:col>
      <xdr:colOff>474339</xdr:colOff>
      <xdr:row>12</xdr:row>
      <xdr:rowOff>71434</xdr:rowOff>
    </xdr:from>
    <xdr:to>
      <xdr:col>13</xdr:col>
      <xdr:colOff>245746</xdr:colOff>
      <xdr:row>27</xdr:row>
      <xdr:rowOff>45240</xdr:rowOff>
    </xdr:to>
    <xdr:sp macro="" textlink="">
      <xdr:nvSpPr>
        <xdr:cNvPr id="13" name="Rectangle: Rounded Corners 12">
          <a:extLst>
            <a:ext uri="{FF2B5EF4-FFF2-40B4-BE49-F238E27FC236}">
              <a16:creationId xmlns:a16="http://schemas.microsoft.com/office/drawing/2014/main" id="{07E6CA2C-F060-46C5-A3E1-B97AFD5B8BFB}"/>
            </a:ext>
          </a:extLst>
        </xdr:cNvPr>
        <xdr:cNvSpPr/>
      </xdr:nvSpPr>
      <xdr:spPr>
        <a:xfrm>
          <a:off x="1811649" y="2469829"/>
          <a:ext cx="7105657" cy="2977991"/>
        </a:xfrm>
        <a:prstGeom prst="roundRect">
          <a:avLst>
            <a:gd name="adj" fmla="val 10117"/>
          </a:avLst>
        </a:prstGeom>
        <a:solidFill>
          <a:schemeClr val="accent1">
            <a:lumMod val="75000"/>
          </a:schemeClr>
        </a:solidFill>
        <a:effectLst>
          <a:outerShdw blurRad="50800" dist="38100" dir="2700000" algn="tl" rotWithShape="0">
            <a:prstClr val="black">
              <a:alpha val="40000"/>
            </a:prstClr>
          </a:outerShdw>
        </a:effectLst>
      </xdr:spPr>
      <xdr:style>
        <a:lnRef idx="1">
          <a:schemeClr val="accent5"/>
        </a:lnRef>
        <a:fillRef idx="3">
          <a:schemeClr val="accent5"/>
        </a:fillRef>
        <a:effectRef idx="2">
          <a:schemeClr val="accent5"/>
        </a:effectRef>
        <a:fontRef idx="minor">
          <a:schemeClr val="lt1"/>
        </a:fontRef>
      </xdr:style>
      <xdr:txBody>
        <a:bodyPr rtlCol="0" anchor="ctr"/>
        <a:lstStyle/>
        <a:p>
          <a:pPr algn="l"/>
          <a:endParaRPr lang="en-ZA" sz="1100"/>
        </a:p>
      </xdr:txBody>
    </xdr:sp>
    <xdr:clientData/>
  </xdr:twoCellAnchor>
  <xdr:twoCellAnchor>
    <xdr:from>
      <xdr:col>9</xdr:col>
      <xdr:colOff>345282</xdr:colOff>
      <xdr:row>1</xdr:row>
      <xdr:rowOff>59529</xdr:rowOff>
    </xdr:from>
    <xdr:to>
      <xdr:col>15</xdr:col>
      <xdr:colOff>360997</xdr:colOff>
      <xdr:row>4</xdr:row>
      <xdr:rowOff>82389</xdr:rowOff>
    </xdr:to>
    <xdr:sp macro="" textlink="">
      <xdr:nvSpPr>
        <xdr:cNvPr id="14" name="TextBox 13">
          <a:extLst>
            <a:ext uri="{FF2B5EF4-FFF2-40B4-BE49-F238E27FC236}">
              <a16:creationId xmlns:a16="http://schemas.microsoft.com/office/drawing/2014/main" id="{3368D2EF-CA14-4F6B-AA17-A481C81C5927}"/>
            </a:ext>
          </a:extLst>
        </xdr:cNvPr>
        <xdr:cNvSpPr txBox="1"/>
      </xdr:nvSpPr>
      <xdr:spPr>
        <a:xfrm>
          <a:off x="6346032" y="255744"/>
          <a:ext cx="4020025" cy="628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3600" b="1" baseline="0">
              <a:solidFill>
                <a:schemeClr val="bg1"/>
              </a:solidFill>
            </a:rPr>
            <a:t>SALES DASHBOARD</a:t>
          </a:r>
          <a:endParaRPr lang="en-ZA" sz="3600" b="1">
            <a:solidFill>
              <a:schemeClr val="bg1"/>
            </a:solidFill>
          </a:endParaRPr>
        </a:p>
      </xdr:txBody>
    </xdr:sp>
    <xdr:clientData/>
  </xdr:twoCellAnchor>
  <xdr:twoCellAnchor editAs="oneCell">
    <xdr:from>
      <xdr:col>0</xdr:col>
      <xdr:colOff>332899</xdr:colOff>
      <xdr:row>0</xdr:row>
      <xdr:rowOff>0</xdr:rowOff>
    </xdr:from>
    <xdr:to>
      <xdr:col>2</xdr:col>
      <xdr:colOff>154781</xdr:colOff>
      <xdr:row>5</xdr:row>
      <xdr:rowOff>135484</xdr:rowOff>
    </xdr:to>
    <xdr:pic>
      <xdr:nvPicPr>
        <xdr:cNvPr id="15" name="Picture 14">
          <a:extLst>
            <a:ext uri="{FF2B5EF4-FFF2-40B4-BE49-F238E27FC236}">
              <a16:creationId xmlns:a16="http://schemas.microsoft.com/office/drawing/2014/main" id="{505155EF-F41F-469A-81AE-3F2F9C49F6A8}"/>
            </a:ext>
          </a:extLst>
        </xdr:cNvPr>
        <xdr:cNvPicPr>
          <a:picLocks noChangeAspect="1"/>
        </xdr:cNvPicPr>
      </xdr:nvPicPr>
      <xdr:blipFill>
        <a:blip xmlns:r="http://schemas.openxmlformats.org/officeDocument/2006/relationships" r:embed="rId1"/>
        <a:stretch>
          <a:fillRect/>
        </a:stretch>
      </xdr:blipFill>
      <xdr:spPr>
        <a:xfrm>
          <a:off x="330994" y="0"/>
          <a:ext cx="1157287" cy="1143229"/>
        </a:xfrm>
        <a:prstGeom prst="rect">
          <a:avLst/>
        </a:prstGeom>
      </xdr:spPr>
    </xdr:pic>
    <xdr:clientData/>
  </xdr:twoCellAnchor>
  <xdr:twoCellAnchor>
    <xdr:from>
      <xdr:col>4</xdr:col>
      <xdr:colOff>5715</xdr:colOff>
      <xdr:row>7</xdr:row>
      <xdr:rowOff>73339</xdr:rowOff>
    </xdr:from>
    <xdr:to>
      <xdr:col>6</xdr:col>
      <xdr:colOff>637222</xdr:colOff>
      <xdr:row>9</xdr:row>
      <xdr:rowOff>24286</xdr:rowOff>
    </xdr:to>
    <xdr:sp macro="" textlink="">
      <xdr:nvSpPr>
        <xdr:cNvPr id="16" name="TextBox 15">
          <a:extLst>
            <a:ext uri="{FF2B5EF4-FFF2-40B4-BE49-F238E27FC236}">
              <a16:creationId xmlns:a16="http://schemas.microsoft.com/office/drawing/2014/main" id="{51032183-A3ED-4798-91F5-7A1BC5D71180}"/>
            </a:ext>
          </a:extLst>
        </xdr:cNvPr>
        <xdr:cNvSpPr txBox="1"/>
      </xdr:nvSpPr>
      <xdr:spPr>
        <a:xfrm>
          <a:off x="2672715" y="1490183"/>
          <a:ext cx="1965007" cy="3557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400" b="1">
              <a:solidFill>
                <a:schemeClr val="bg1"/>
              </a:solidFill>
            </a:rPr>
            <a:t>TOTAL GROSS</a:t>
          </a:r>
          <a:r>
            <a:rPr lang="en-ZA" sz="1400" b="1" baseline="0">
              <a:solidFill>
                <a:schemeClr val="bg1"/>
              </a:solidFill>
            </a:rPr>
            <a:t> PROFIT</a:t>
          </a:r>
          <a:endParaRPr lang="en-ZA" sz="1400" b="1">
            <a:solidFill>
              <a:schemeClr val="bg1"/>
            </a:solidFill>
          </a:endParaRPr>
        </a:p>
      </xdr:txBody>
    </xdr:sp>
    <xdr:clientData/>
  </xdr:twoCellAnchor>
  <xdr:twoCellAnchor>
    <xdr:from>
      <xdr:col>4</xdr:col>
      <xdr:colOff>25716</xdr:colOff>
      <xdr:row>9</xdr:row>
      <xdr:rowOff>21905</xdr:rowOff>
    </xdr:from>
    <xdr:to>
      <xdr:col>6</xdr:col>
      <xdr:colOff>553877</xdr:colOff>
      <xdr:row>11</xdr:row>
      <xdr:rowOff>0</xdr:rowOff>
    </xdr:to>
    <xdr:sp macro="" textlink="">
      <xdr:nvSpPr>
        <xdr:cNvPr id="17" name="TextBox 16">
          <a:extLst>
            <a:ext uri="{FF2B5EF4-FFF2-40B4-BE49-F238E27FC236}">
              <a16:creationId xmlns:a16="http://schemas.microsoft.com/office/drawing/2014/main" id="{6DEF9FE9-0C7A-47C2-A43E-5FD21D594693}"/>
            </a:ext>
          </a:extLst>
        </xdr:cNvPr>
        <xdr:cNvSpPr txBox="1"/>
      </xdr:nvSpPr>
      <xdr:spPr>
        <a:xfrm>
          <a:off x="2692716" y="1843561"/>
          <a:ext cx="1861661" cy="3829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rPr>
            <a:t>-R7 116 291,00 </a:t>
          </a:r>
        </a:p>
      </xdr:txBody>
    </xdr:sp>
    <xdr:clientData/>
  </xdr:twoCellAnchor>
  <xdr:twoCellAnchor>
    <xdr:from>
      <xdr:col>9</xdr:col>
      <xdr:colOff>73343</xdr:colOff>
      <xdr:row>7</xdr:row>
      <xdr:rowOff>49048</xdr:rowOff>
    </xdr:from>
    <xdr:to>
      <xdr:col>12</xdr:col>
      <xdr:colOff>407193</xdr:colOff>
      <xdr:row>8</xdr:row>
      <xdr:rowOff>190971</xdr:rowOff>
    </xdr:to>
    <xdr:sp macro="" textlink="">
      <xdr:nvSpPr>
        <xdr:cNvPr id="18" name="TextBox 17">
          <a:extLst>
            <a:ext uri="{FF2B5EF4-FFF2-40B4-BE49-F238E27FC236}">
              <a16:creationId xmlns:a16="http://schemas.microsoft.com/office/drawing/2014/main" id="{352E8282-6C44-4ECD-AE3B-BF319C0595C3}"/>
            </a:ext>
          </a:extLst>
        </xdr:cNvPr>
        <xdr:cNvSpPr txBox="1"/>
      </xdr:nvSpPr>
      <xdr:spPr>
        <a:xfrm>
          <a:off x="6074093" y="1465892"/>
          <a:ext cx="2334100" cy="344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400" b="1">
              <a:solidFill>
                <a:schemeClr val="bg1"/>
              </a:solidFill>
            </a:rPr>
            <a:t>OVERRALL</a:t>
          </a:r>
          <a:r>
            <a:rPr lang="en-ZA" sz="1400" b="1" baseline="0">
              <a:solidFill>
                <a:schemeClr val="bg1"/>
              </a:solidFill>
            </a:rPr>
            <a:t> GROSS PROFIT%</a:t>
          </a:r>
          <a:endParaRPr lang="en-ZA" sz="1400" b="1">
            <a:solidFill>
              <a:schemeClr val="bg1"/>
            </a:solidFill>
          </a:endParaRPr>
        </a:p>
      </xdr:txBody>
    </xdr:sp>
    <xdr:clientData/>
  </xdr:twoCellAnchor>
  <xdr:twoCellAnchor>
    <xdr:from>
      <xdr:col>10</xdr:col>
      <xdr:colOff>57619</xdr:colOff>
      <xdr:row>9</xdr:row>
      <xdr:rowOff>17615</xdr:rowOff>
    </xdr:from>
    <xdr:to>
      <xdr:col>11</xdr:col>
      <xdr:colOff>543877</xdr:colOff>
      <xdr:row>10</xdr:row>
      <xdr:rowOff>136201</xdr:rowOff>
    </xdr:to>
    <xdr:sp macro="" textlink="">
      <xdr:nvSpPr>
        <xdr:cNvPr id="19" name="TextBox 18">
          <a:extLst>
            <a:ext uri="{FF2B5EF4-FFF2-40B4-BE49-F238E27FC236}">
              <a16:creationId xmlns:a16="http://schemas.microsoft.com/office/drawing/2014/main" id="{8B6764E4-86F7-4D7C-9A08-0D71B7E32743}"/>
            </a:ext>
          </a:extLst>
        </xdr:cNvPr>
        <xdr:cNvSpPr txBox="1"/>
      </xdr:nvSpPr>
      <xdr:spPr>
        <a:xfrm>
          <a:off x="6725119" y="1839271"/>
          <a:ext cx="1153008" cy="320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rPr>
            <a:t>-3.80%</a:t>
          </a:r>
        </a:p>
      </xdr:txBody>
    </xdr:sp>
    <xdr:clientData/>
  </xdr:twoCellAnchor>
  <xdr:twoCellAnchor>
    <xdr:from>
      <xdr:col>15</xdr:col>
      <xdr:colOff>414807</xdr:colOff>
      <xdr:row>9</xdr:row>
      <xdr:rowOff>15712</xdr:rowOff>
    </xdr:from>
    <xdr:to>
      <xdr:col>17</xdr:col>
      <xdr:colOff>238125</xdr:colOff>
      <xdr:row>10</xdr:row>
      <xdr:rowOff>122868</xdr:rowOff>
    </xdr:to>
    <xdr:sp macro="" textlink="">
      <xdr:nvSpPr>
        <xdr:cNvPr id="20" name="TextBox 19">
          <a:extLst>
            <a:ext uri="{FF2B5EF4-FFF2-40B4-BE49-F238E27FC236}">
              <a16:creationId xmlns:a16="http://schemas.microsoft.com/office/drawing/2014/main" id="{B668F0F9-314F-4768-B1CD-FF05AFFB5B99}"/>
            </a:ext>
          </a:extLst>
        </xdr:cNvPr>
        <xdr:cNvSpPr txBox="1"/>
      </xdr:nvSpPr>
      <xdr:spPr>
        <a:xfrm>
          <a:off x="10414152" y="1819747"/>
          <a:ext cx="1160628" cy="305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rPr>
            <a:t>R0.89</a:t>
          </a:r>
        </a:p>
      </xdr:txBody>
    </xdr:sp>
    <xdr:clientData/>
  </xdr:twoCellAnchor>
  <xdr:twoCellAnchor>
    <xdr:from>
      <xdr:col>14</xdr:col>
      <xdr:colOff>299560</xdr:colOff>
      <xdr:row>7</xdr:row>
      <xdr:rowOff>89531</xdr:rowOff>
    </xdr:from>
    <xdr:to>
      <xdr:col>18</xdr:col>
      <xdr:colOff>44759</xdr:colOff>
      <xdr:row>9</xdr:row>
      <xdr:rowOff>38573</xdr:rowOff>
    </xdr:to>
    <xdr:sp macro="" textlink="">
      <xdr:nvSpPr>
        <xdr:cNvPr id="21" name="TextBox 20">
          <a:extLst>
            <a:ext uri="{FF2B5EF4-FFF2-40B4-BE49-F238E27FC236}">
              <a16:creationId xmlns:a16="http://schemas.microsoft.com/office/drawing/2014/main" id="{F3688B09-C796-45A7-8569-603E23F5185A}"/>
            </a:ext>
          </a:extLst>
        </xdr:cNvPr>
        <xdr:cNvSpPr txBox="1"/>
      </xdr:nvSpPr>
      <xdr:spPr>
        <a:xfrm>
          <a:off x="9634060" y="1506375"/>
          <a:ext cx="2412199" cy="3538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400" b="1">
              <a:solidFill>
                <a:schemeClr val="bg1"/>
              </a:solidFill>
            </a:rPr>
            <a:t>AVG GROSS</a:t>
          </a:r>
          <a:r>
            <a:rPr lang="en-ZA" sz="1400" b="1" baseline="0">
              <a:solidFill>
                <a:schemeClr val="bg1"/>
              </a:solidFill>
            </a:rPr>
            <a:t> PROFIT PER UNIT</a:t>
          </a:r>
          <a:endParaRPr lang="en-ZA" sz="1400" b="1">
            <a:solidFill>
              <a:schemeClr val="bg1"/>
            </a:solidFill>
          </a:endParaRPr>
        </a:p>
      </xdr:txBody>
    </xdr:sp>
    <xdr:clientData/>
  </xdr:twoCellAnchor>
  <xdr:twoCellAnchor>
    <xdr:from>
      <xdr:col>20</xdr:col>
      <xdr:colOff>656748</xdr:colOff>
      <xdr:row>8</xdr:row>
      <xdr:rowOff>152395</xdr:rowOff>
    </xdr:from>
    <xdr:to>
      <xdr:col>22</xdr:col>
      <xdr:colOff>599123</xdr:colOff>
      <xdr:row>10</xdr:row>
      <xdr:rowOff>70480</xdr:rowOff>
    </xdr:to>
    <xdr:sp macro="" textlink="">
      <xdr:nvSpPr>
        <xdr:cNvPr id="22" name="TextBox 21">
          <a:extLst>
            <a:ext uri="{FF2B5EF4-FFF2-40B4-BE49-F238E27FC236}">
              <a16:creationId xmlns:a16="http://schemas.microsoft.com/office/drawing/2014/main" id="{D7805F4D-3E74-4E5A-9E00-AADF6DDDA8C7}"/>
            </a:ext>
          </a:extLst>
        </xdr:cNvPr>
        <xdr:cNvSpPr txBox="1"/>
      </xdr:nvSpPr>
      <xdr:spPr>
        <a:xfrm>
          <a:off x="13991748" y="1771645"/>
          <a:ext cx="1275875" cy="32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rPr>
            <a:t>105.00%</a:t>
          </a:r>
        </a:p>
      </xdr:txBody>
    </xdr:sp>
    <xdr:clientData/>
  </xdr:twoCellAnchor>
  <xdr:twoCellAnchor>
    <xdr:from>
      <xdr:col>19</xdr:col>
      <xdr:colOff>214312</xdr:colOff>
      <xdr:row>7</xdr:row>
      <xdr:rowOff>65242</xdr:rowOff>
    </xdr:from>
    <xdr:to>
      <xdr:col>24</xdr:col>
      <xdr:colOff>8096</xdr:colOff>
      <xdr:row>9</xdr:row>
      <xdr:rowOff>14284</xdr:rowOff>
    </xdr:to>
    <xdr:sp macro="" textlink="">
      <xdr:nvSpPr>
        <xdr:cNvPr id="23" name="TextBox 22">
          <a:extLst>
            <a:ext uri="{FF2B5EF4-FFF2-40B4-BE49-F238E27FC236}">
              <a16:creationId xmlns:a16="http://schemas.microsoft.com/office/drawing/2014/main" id="{6F32A09A-8BC7-4AB5-9FFD-0F5A2A5847FE}"/>
            </a:ext>
          </a:extLst>
        </xdr:cNvPr>
        <xdr:cNvSpPr txBox="1"/>
      </xdr:nvSpPr>
      <xdr:spPr>
        <a:xfrm>
          <a:off x="12882562" y="1482086"/>
          <a:ext cx="3127534" cy="3538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400" b="1">
              <a:solidFill>
                <a:schemeClr val="bg1"/>
              </a:solidFill>
            </a:rPr>
            <a:t>HIGHEST</a:t>
          </a:r>
          <a:r>
            <a:rPr lang="en-ZA" sz="1400" b="1" baseline="0">
              <a:solidFill>
                <a:schemeClr val="bg1"/>
              </a:solidFill>
            </a:rPr>
            <a:t> PROMOTION SALES INCREASE</a:t>
          </a:r>
          <a:endParaRPr lang="en-ZA" sz="1400" b="1">
            <a:solidFill>
              <a:schemeClr val="bg1"/>
            </a:solidFill>
          </a:endParaRPr>
        </a:p>
      </xdr:txBody>
    </xdr:sp>
    <xdr:clientData/>
  </xdr:twoCellAnchor>
  <xdr:twoCellAnchor editAs="oneCell">
    <xdr:from>
      <xdr:col>0</xdr:col>
      <xdr:colOff>178588</xdr:colOff>
      <xdr:row>7</xdr:row>
      <xdr:rowOff>37625</xdr:rowOff>
    </xdr:from>
    <xdr:to>
      <xdr:col>2</xdr:col>
      <xdr:colOff>343376</xdr:colOff>
      <xdr:row>14</xdr:row>
      <xdr:rowOff>169546</xdr:rowOff>
    </xdr:to>
    <mc:AlternateContent xmlns:mc="http://schemas.openxmlformats.org/markup-compatibility/2006" xmlns:a14="http://schemas.microsoft.com/office/drawing/2010/main">
      <mc:Choice Requires="a14">
        <xdr:graphicFrame macro="">
          <xdr:nvGraphicFramePr>
            <xdr:cNvPr id="24" name="year 2">
              <a:extLst>
                <a:ext uri="{FF2B5EF4-FFF2-40B4-BE49-F238E27FC236}">
                  <a16:creationId xmlns:a16="http://schemas.microsoft.com/office/drawing/2014/main" id="{EB813853-2924-4632-9923-B5703D81C88B}"/>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74778" y="1454469"/>
              <a:ext cx="1502098" cy="15525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134778</xdr:colOff>
      <xdr:row>14</xdr:row>
      <xdr:rowOff>188117</xdr:rowOff>
    </xdr:from>
    <xdr:to>
      <xdr:col>2</xdr:col>
      <xdr:colOff>365283</xdr:colOff>
      <xdr:row>30</xdr:row>
      <xdr:rowOff>174306</xdr:rowOff>
    </xdr:to>
    <mc:AlternateContent xmlns:mc="http://schemas.openxmlformats.org/markup-compatibility/2006" xmlns:a14="http://schemas.microsoft.com/office/drawing/2010/main">
      <mc:Choice Requires="a14">
        <xdr:graphicFrame macro="">
          <xdr:nvGraphicFramePr>
            <xdr:cNvPr id="25" name="month 2">
              <a:extLst>
                <a:ext uri="{FF2B5EF4-FFF2-40B4-BE49-F238E27FC236}">
                  <a16:creationId xmlns:a16="http://schemas.microsoft.com/office/drawing/2014/main" id="{DD0967E5-A95B-4413-BAB9-2515F0DD9460}"/>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130968" y="3021805"/>
              <a:ext cx="1564005" cy="3220879"/>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162401</xdr:colOff>
      <xdr:row>31</xdr:row>
      <xdr:rowOff>109062</xdr:rowOff>
    </xdr:from>
    <xdr:to>
      <xdr:col>2</xdr:col>
      <xdr:colOff>327184</xdr:colOff>
      <xdr:row>43</xdr:row>
      <xdr:rowOff>101442</xdr:rowOff>
    </xdr:to>
    <mc:AlternateContent xmlns:mc="http://schemas.openxmlformats.org/markup-compatibility/2006" xmlns:a14="http://schemas.microsoft.com/office/drawing/2010/main">
      <mc:Choice Requires="a14">
        <xdr:graphicFrame macro="">
          <xdr:nvGraphicFramePr>
            <xdr:cNvPr id="26" name="day_of_week 2">
              <a:extLst>
                <a:ext uri="{FF2B5EF4-FFF2-40B4-BE49-F238E27FC236}">
                  <a16:creationId xmlns:a16="http://schemas.microsoft.com/office/drawing/2014/main" id="{F3055150-AFFD-4BEA-A253-ABD75FBC33B7}"/>
                </a:ext>
              </a:extLst>
            </xdr:cNvPr>
            <xdr:cNvGraphicFramePr/>
          </xdr:nvGraphicFramePr>
          <xdr:xfrm>
            <a:off x="0" y="0"/>
            <a:ext cx="0" cy="0"/>
          </xdr:xfrm>
          <a:graphic>
            <a:graphicData uri="http://schemas.microsoft.com/office/drawing/2010/slicer">
              <sle:slicer xmlns:sle="http://schemas.microsoft.com/office/drawing/2010/slicer" name="day_of_week 2"/>
            </a:graphicData>
          </a:graphic>
        </xdr:graphicFrame>
      </mc:Choice>
      <mc:Fallback xmlns="">
        <xdr:sp macro="" textlink="">
          <xdr:nvSpPr>
            <xdr:cNvPr id="0" name=""/>
            <xdr:cNvSpPr>
              <a:spLocks noTextEdit="1"/>
            </xdr:cNvSpPr>
          </xdr:nvSpPr>
          <xdr:spPr>
            <a:xfrm>
              <a:off x="164306" y="6381751"/>
              <a:ext cx="1492568" cy="241935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478149</xdr:colOff>
      <xdr:row>12</xdr:row>
      <xdr:rowOff>91440</xdr:rowOff>
    </xdr:from>
    <xdr:to>
      <xdr:col>13</xdr:col>
      <xdr:colOff>238125</xdr:colOff>
      <xdr:row>27</xdr:row>
      <xdr:rowOff>15716</xdr:rowOff>
    </xdr:to>
    <xdr:graphicFrame macro="">
      <xdr:nvGraphicFramePr>
        <xdr:cNvPr id="31" name="Chart 30">
          <a:extLst>
            <a:ext uri="{FF2B5EF4-FFF2-40B4-BE49-F238E27FC236}">
              <a16:creationId xmlns:a16="http://schemas.microsoft.com/office/drawing/2014/main" id="{3293F1E9-EEA6-4EB5-B33B-D595A83880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365284</xdr:colOff>
      <xdr:row>28</xdr:row>
      <xdr:rowOff>20002</xdr:rowOff>
    </xdr:from>
    <xdr:to>
      <xdr:col>24</xdr:col>
      <xdr:colOff>86671</xdr:colOff>
      <xdr:row>42</xdr:row>
      <xdr:rowOff>178117</xdr:rowOff>
    </xdr:to>
    <xdr:graphicFrame macro="">
      <xdr:nvGraphicFramePr>
        <xdr:cNvPr id="32" name="Chart 31">
          <a:extLst>
            <a:ext uri="{FF2B5EF4-FFF2-40B4-BE49-F238E27FC236}">
              <a16:creationId xmlns:a16="http://schemas.microsoft.com/office/drawing/2014/main" id="{7A20DB7A-A73B-446B-9CF7-BDB7DDA7E9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280034</xdr:colOff>
      <xdr:row>12</xdr:row>
      <xdr:rowOff>158591</xdr:rowOff>
    </xdr:from>
    <xdr:to>
      <xdr:col>24</xdr:col>
      <xdr:colOff>11429</xdr:colOff>
      <xdr:row>27</xdr:row>
      <xdr:rowOff>35719</xdr:rowOff>
    </xdr:to>
    <xdr:graphicFrame macro="">
      <xdr:nvGraphicFramePr>
        <xdr:cNvPr id="33" name="Chart 32">
          <a:extLst>
            <a:ext uri="{FF2B5EF4-FFF2-40B4-BE49-F238E27FC236}">
              <a16:creationId xmlns:a16="http://schemas.microsoft.com/office/drawing/2014/main" id="{717F60CA-31EF-4B9E-9D66-67A6AB6943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515778</xdr:colOff>
      <xdr:row>27</xdr:row>
      <xdr:rowOff>189070</xdr:rowOff>
    </xdr:from>
    <xdr:to>
      <xdr:col>13</xdr:col>
      <xdr:colOff>210501</xdr:colOff>
      <xdr:row>44</xdr:row>
      <xdr:rowOff>53815</xdr:rowOff>
    </xdr:to>
    <xdr:graphicFrame macro="">
      <xdr:nvGraphicFramePr>
        <xdr:cNvPr id="35" name="Chart 34">
          <a:extLst>
            <a:ext uri="{FF2B5EF4-FFF2-40B4-BE49-F238E27FC236}">
              <a16:creationId xmlns:a16="http://schemas.microsoft.com/office/drawing/2014/main" id="{5031101C-CC50-4F90-9D92-79FAD5700E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xdr:col>
      <xdr:colOff>531964</xdr:colOff>
      <xdr:row>7</xdr:row>
      <xdr:rowOff>49050</xdr:rowOff>
    </xdr:from>
    <xdr:to>
      <xdr:col>3</xdr:col>
      <xdr:colOff>622934</xdr:colOff>
      <xdr:row>10</xdr:row>
      <xdr:rowOff>192520</xdr:rowOff>
    </xdr:to>
    <xdr:pic>
      <xdr:nvPicPr>
        <xdr:cNvPr id="27" name="Picture 26">
          <a:extLst>
            <a:ext uri="{FF2B5EF4-FFF2-40B4-BE49-F238E27FC236}">
              <a16:creationId xmlns:a16="http://schemas.microsoft.com/office/drawing/2014/main" id="{27C8262E-F87F-499B-9947-E6F8AA70D56C}"/>
            </a:ext>
          </a:extLst>
        </xdr:cNvPr>
        <xdr:cNvPicPr>
          <a:picLocks noChangeAspect="1"/>
        </xdr:cNvPicPr>
      </xdr:nvPicPr>
      <xdr:blipFill>
        <a:blip xmlns:r="http://schemas.openxmlformats.org/officeDocument/2006/relationships" r:embed="rId6">
          <a:lum bright="70000" contrast="-70000"/>
        </a:blip>
        <a:stretch>
          <a:fillRect/>
        </a:stretch>
      </xdr:blipFill>
      <xdr:spPr>
        <a:xfrm>
          <a:off x="1865464" y="1465894"/>
          <a:ext cx="757720" cy="750689"/>
        </a:xfrm>
        <a:prstGeom prst="rect">
          <a:avLst/>
        </a:prstGeom>
      </xdr:spPr>
    </xdr:pic>
    <xdr:clientData/>
  </xdr:twoCellAnchor>
  <xdr:twoCellAnchor editAs="oneCell">
    <xdr:from>
      <xdr:col>8</xdr:col>
      <xdr:colOff>180495</xdr:colOff>
      <xdr:row>7</xdr:row>
      <xdr:rowOff>158108</xdr:rowOff>
    </xdr:from>
    <xdr:to>
      <xdr:col>9</xdr:col>
      <xdr:colOff>167211</xdr:colOff>
      <xdr:row>11</xdr:row>
      <xdr:rowOff>15716</xdr:rowOff>
    </xdr:to>
    <xdr:pic>
      <xdr:nvPicPr>
        <xdr:cNvPr id="28" name="Picture 27">
          <a:extLst>
            <a:ext uri="{FF2B5EF4-FFF2-40B4-BE49-F238E27FC236}">
              <a16:creationId xmlns:a16="http://schemas.microsoft.com/office/drawing/2014/main" id="{EC784479-FDF2-4BBF-B13E-5709E49AA6C0}"/>
            </a:ext>
          </a:extLst>
        </xdr:cNvPr>
        <xdr:cNvPicPr>
          <a:picLocks noChangeAspect="1"/>
        </xdr:cNvPicPr>
      </xdr:nvPicPr>
      <xdr:blipFill>
        <a:blip xmlns:r="http://schemas.openxmlformats.org/officeDocument/2006/relationships" r:embed="rId7">
          <a:lum bright="70000" contrast="-70000"/>
        </a:blip>
        <a:stretch>
          <a:fillRect/>
        </a:stretch>
      </xdr:blipFill>
      <xdr:spPr>
        <a:xfrm>
          <a:off x="5514495" y="1574952"/>
          <a:ext cx="653466" cy="667233"/>
        </a:xfrm>
        <a:prstGeom prst="rect">
          <a:avLst/>
        </a:prstGeom>
      </xdr:spPr>
    </xdr:pic>
    <xdr:clientData/>
  </xdr:twoCellAnchor>
  <xdr:twoCellAnchor editAs="oneCell">
    <xdr:from>
      <xdr:col>13</xdr:col>
      <xdr:colOff>498152</xdr:colOff>
      <xdr:row>8</xdr:row>
      <xdr:rowOff>25715</xdr:rowOff>
    </xdr:from>
    <xdr:to>
      <xdr:col>14</xdr:col>
      <xdr:colOff>437999</xdr:colOff>
      <xdr:row>11</xdr:row>
      <xdr:rowOff>47626</xdr:rowOff>
    </xdr:to>
    <xdr:pic>
      <xdr:nvPicPr>
        <xdr:cNvPr id="29" name="Picture 28">
          <a:extLst>
            <a:ext uri="{FF2B5EF4-FFF2-40B4-BE49-F238E27FC236}">
              <a16:creationId xmlns:a16="http://schemas.microsoft.com/office/drawing/2014/main" id="{5B521462-DF79-435F-9B80-0A92353DCE04}"/>
            </a:ext>
          </a:extLst>
        </xdr:cNvPr>
        <xdr:cNvPicPr>
          <a:picLocks noChangeAspect="1"/>
        </xdr:cNvPicPr>
      </xdr:nvPicPr>
      <xdr:blipFill>
        <a:blip xmlns:r="http://schemas.openxmlformats.org/officeDocument/2006/relationships" r:embed="rId8">
          <a:lum bright="70000" contrast="-70000"/>
        </a:blip>
        <a:stretch>
          <a:fillRect/>
        </a:stretch>
      </xdr:blipFill>
      <xdr:spPr>
        <a:xfrm>
          <a:off x="9165902" y="1644965"/>
          <a:ext cx="606597" cy="629130"/>
        </a:xfrm>
        <a:prstGeom prst="rect">
          <a:avLst/>
        </a:prstGeom>
      </xdr:spPr>
    </xdr:pic>
    <xdr:clientData/>
  </xdr:twoCellAnchor>
  <xdr:twoCellAnchor editAs="oneCell">
    <xdr:from>
      <xdr:col>19</xdr:col>
      <xdr:colOff>208597</xdr:colOff>
      <xdr:row>8</xdr:row>
      <xdr:rowOff>98103</xdr:rowOff>
    </xdr:from>
    <xdr:to>
      <xdr:col>20</xdr:col>
      <xdr:colOff>131671</xdr:colOff>
      <xdr:row>11</xdr:row>
      <xdr:rowOff>69532</xdr:rowOff>
    </xdr:to>
    <xdr:pic>
      <xdr:nvPicPr>
        <xdr:cNvPr id="30" name="Picture 29">
          <a:extLst>
            <a:ext uri="{FF2B5EF4-FFF2-40B4-BE49-F238E27FC236}">
              <a16:creationId xmlns:a16="http://schemas.microsoft.com/office/drawing/2014/main" id="{6A269C71-BE1E-416E-93AB-68D17B87276F}"/>
            </a:ext>
          </a:extLst>
        </xdr:cNvPr>
        <xdr:cNvPicPr>
          <a:picLocks noChangeAspect="1"/>
        </xdr:cNvPicPr>
      </xdr:nvPicPr>
      <xdr:blipFill>
        <a:blip xmlns:r="http://schemas.openxmlformats.org/officeDocument/2006/relationships" r:embed="rId9">
          <a:lum bright="70000" contrast="-70000"/>
        </a:blip>
        <a:stretch>
          <a:fillRect/>
        </a:stretch>
      </xdr:blipFill>
      <xdr:spPr>
        <a:xfrm>
          <a:off x="12876847" y="1717353"/>
          <a:ext cx="589824" cy="57864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soletu Digala" refreshedDate="46293.580472106485" createdVersion="7" refreshedVersion="7" minRefreshableVersion="3" recordCount="1053" xr:uid="{4ABBE85E-9335-4C7B-B23E-8C9B49062DBD}">
  <cacheSource type="worksheet">
    <worksheetSource name="Table1"/>
  </cacheSource>
  <cacheFields count="15">
    <cacheField name="sales_date" numFmtId="164">
      <sharedItems containsSemiMixedTypes="0" containsNonDate="0" containsDate="1" containsString="0" minDate="2013-12-30T00:00:00" maxDate="2016-11-17T00:00:00" count="1053">
        <d v="2013-12-30T00:00:00"/>
        <d v="2013-12-31T00:00:00"/>
        <d v="2014-01-01T00:00:00"/>
        <d v="2014-01-02T00:00:00"/>
        <d v="2014-01-03T00:00:00"/>
        <d v="2014-01-04T00:00:00"/>
        <d v="2014-01-05T00:00:00"/>
        <d v="2014-01-06T00:00:00"/>
        <d v="2014-01-07T00:00:00"/>
        <d v="2014-01-08T00:00:00"/>
        <d v="2014-01-09T00:00:00"/>
        <d v="2014-01-10T00:00:00"/>
        <d v="2014-01-11T00:00:00"/>
        <d v="2014-01-12T00:00:00"/>
        <d v="2014-01-13T00:00:00"/>
        <d v="2014-01-14T00:00:00"/>
        <d v="2014-01-15T00:00:00"/>
        <d v="2014-01-16T00:00:00"/>
        <d v="2014-01-17T00:00:00"/>
        <d v="2014-01-18T00:00:00"/>
        <d v="2014-01-19T00:00:00"/>
        <d v="2014-01-20T00:00:00"/>
        <d v="2014-01-21T00:00:00"/>
        <d v="2014-01-22T00:00:00"/>
        <d v="2014-01-23T00:00:00"/>
        <d v="2014-01-24T00:00:00"/>
        <d v="2014-01-25T00:00:00"/>
        <d v="2014-01-26T00:00:00"/>
        <d v="2014-01-27T00:00:00"/>
        <d v="2014-01-28T00:00:00"/>
        <d v="2014-01-29T00:00:00"/>
        <d v="2014-01-30T00:00:00"/>
        <d v="2014-01-31T00:00:00"/>
        <d v="2014-02-01T00:00:00"/>
        <d v="2014-02-02T00:00:00"/>
        <d v="2014-02-03T00:00:00"/>
        <d v="2014-02-04T00:00:00"/>
        <d v="2014-02-05T00:00:00"/>
        <d v="2014-02-06T00:00:00"/>
        <d v="2014-02-07T00:00:00"/>
        <d v="2014-02-08T00:00:00"/>
        <d v="2014-02-09T00:00:00"/>
        <d v="2014-02-10T00:00:00"/>
        <d v="2014-02-11T00:00:00"/>
        <d v="2014-02-12T00:00:00"/>
        <d v="2014-02-13T00:00:00"/>
        <d v="2014-02-14T00:00:00"/>
        <d v="2014-02-15T00:00:00"/>
        <d v="2014-02-16T00:00:00"/>
        <d v="2014-02-17T00:00:00"/>
        <d v="2014-02-18T00:00:00"/>
        <d v="2014-02-19T00:00:00"/>
        <d v="2014-02-20T00:00:00"/>
        <d v="2014-02-21T00:00:00"/>
        <d v="2014-02-22T00:00:00"/>
        <d v="2014-02-23T00:00:00"/>
        <d v="2014-02-24T00:00:00"/>
        <d v="2014-02-25T00:00:00"/>
        <d v="2014-02-26T00:00:00"/>
        <d v="2014-02-27T00:00:00"/>
        <d v="2014-02-28T00:00:00"/>
        <d v="2014-03-01T00:00:00"/>
        <d v="2014-03-02T00:00:00"/>
        <d v="2014-03-03T00:00:00"/>
        <d v="2014-03-04T00:00:00"/>
        <d v="2014-03-05T00:00:00"/>
        <d v="2014-03-06T00:00:00"/>
        <d v="2014-03-07T00:00:00"/>
        <d v="2014-03-08T00:00:00"/>
        <d v="2014-03-09T00:00:00"/>
        <d v="2014-03-10T00:00:00"/>
        <d v="2014-03-11T00:00:00"/>
        <d v="2014-03-12T00:00:00"/>
        <d v="2014-03-13T00:00:00"/>
        <d v="2014-03-14T00:00:00"/>
        <d v="2014-03-15T00:00:00"/>
        <d v="2014-03-16T00:00:00"/>
        <d v="2014-03-17T00:00:00"/>
        <d v="2014-03-18T00:00:00"/>
        <d v="2014-03-19T00:00:00"/>
        <d v="2014-03-20T00:00:00"/>
        <d v="2014-03-21T00:00:00"/>
        <d v="2014-03-22T00:00:00"/>
        <d v="2014-03-23T00:00:00"/>
        <d v="2014-03-24T00:00:00"/>
        <d v="2014-03-25T00:00:00"/>
        <d v="2014-03-26T00:00:00"/>
        <d v="2014-03-27T00:00:00"/>
        <d v="2014-03-28T00:00:00"/>
        <d v="2014-03-29T00:00:00"/>
        <d v="2014-03-30T00:00:00"/>
        <d v="2014-03-31T00:00:00"/>
        <d v="2014-04-01T00:00:00"/>
        <d v="2014-04-02T00:00:00"/>
        <d v="2014-04-03T00:00:00"/>
        <d v="2014-04-04T00:00:00"/>
        <d v="2014-04-05T00:00:00"/>
        <d v="2014-04-06T00:00:00"/>
        <d v="2014-04-07T00:00:00"/>
        <d v="2014-04-08T00:00:00"/>
        <d v="2014-04-09T00:00:00"/>
        <d v="2014-04-10T00:00:00"/>
        <d v="2014-04-11T00:00:00"/>
        <d v="2014-04-12T00:00:00"/>
        <d v="2014-04-13T00:00:00"/>
        <d v="2014-04-14T00:00:00"/>
        <d v="2014-04-15T00:00:00"/>
        <d v="2014-04-16T00:00:00"/>
        <d v="2014-04-17T00:00:00"/>
        <d v="2014-04-18T00:00:00"/>
        <d v="2014-04-19T00:00:00"/>
        <d v="2014-04-20T00:00:00"/>
        <d v="2014-04-21T00:00:00"/>
        <d v="2014-04-22T00:00:00"/>
        <d v="2014-04-23T00:00:00"/>
        <d v="2014-04-24T00:00:00"/>
        <d v="2014-04-25T00:00:00"/>
        <d v="2014-04-26T00:00:00"/>
        <d v="2014-04-27T00:00:00"/>
        <d v="2014-04-28T00:00:00"/>
        <d v="2014-04-29T00:00:00"/>
        <d v="2014-04-30T00:00:00"/>
        <d v="2014-05-01T00:00:00"/>
        <d v="2014-05-02T00:00:00"/>
        <d v="2014-05-03T00:00:00"/>
        <d v="2014-05-04T00:00:00"/>
        <d v="2014-05-05T00:00:00"/>
        <d v="2014-05-06T00:00:00"/>
        <d v="2014-05-07T00:00:00"/>
        <d v="2014-05-08T00:00:00"/>
        <d v="2014-05-09T00:00:00"/>
        <d v="2014-05-10T00:00:00"/>
        <d v="2014-05-11T00:00:00"/>
        <d v="2014-05-12T00:00:00"/>
        <d v="2014-05-13T00:00:00"/>
        <d v="2014-05-14T00:00:00"/>
        <d v="2014-05-15T00:00:00"/>
        <d v="2014-05-16T00:00:00"/>
        <d v="2014-05-17T00:00:00"/>
        <d v="2014-05-18T00:00:00"/>
        <d v="2014-05-19T00:00:00"/>
        <d v="2014-05-20T00:00:00"/>
        <d v="2014-05-21T00:00:00"/>
        <d v="2014-05-22T00:00:00"/>
        <d v="2014-05-23T00:00:00"/>
        <d v="2014-05-24T00:00:00"/>
        <d v="2014-05-25T00:00:00"/>
        <d v="2014-05-26T00:00:00"/>
        <d v="2014-05-27T00:00:00"/>
        <d v="2014-05-28T00:00:00"/>
        <d v="2014-05-29T00:00:00"/>
        <d v="2014-05-30T00:00:00"/>
        <d v="2014-05-31T00:00:00"/>
        <d v="2014-06-01T00:00:00"/>
        <d v="2014-06-02T00:00:00"/>
        <d v="2014-06-03T00:00:00"/>
        <d v="2014-06-04T00:00:00"/>
        <d v="2014-06-05T00:00:00"/>
        <d v="2014-06-06T00:00:00"/>
        <d v="2014-06-07T00:00:00"/>
        <d v="2014-06-08T00:00:00"/>
        <d v="2014-06-09T00:00:00"/>
        <d v="2014-06-10T00:00:00"/>
        <d v="2014-06-11T00:00:00"/>
        <d v="2014-06-12T00:00:00"/>
        <d v="2014-06-13T00:00:00"/>
        <d v="2014-06-14T00:00:00"/>
        <d v="2014-06-15T00:00:00"/>
        <d v="2014-06-16T00:00:00"/>
        <d v="2014-06-17T00:00:00"/>
        <d v="2014-06-18T00:00:00"/>
        <d v="2014-06-19T00:00:00"/>
        <d v="2014-06-20T00:00:00"/>
        <d v="2014-06-21T00:00:00"/>
        <d v="2014-06-22T00:00:00"/>
        <d v="2014-06-23T00:00:00"/>
        <d v="2014-06-24T00:00:00"/>
        <d v="2014-06-25T00:00:00"/>
        <d v="2014-06-26T00:00:00"/>
        <d v="2014-06-27T00:00:00"/>
        <d v="2014-06-28T00:00:00"/>
        <d v="2014-06-29T00:00:00"/>
        <d v="2014-06-30T00:00:00"/>
        <d v="2014-07-01T00:00:00"/>
        <d v="2014-07-02T00:00:00"/>
        <d v="2014-07-03T00:00:00"/>
        <d v="2014-07-04T00:00:00"/>
        <d v="2014-07-05T00:00:00"/>
        <d v="2014-07-06T00:00:00"/>
        <d v="2014-07-07T00:00:00"/>
        <d v="2014-07-08T00:00:00"/>
        <d v="2014-07-09T00:00:00"/>
        <d v="2014-07-10T00:00:00"/>
        <d v="2014-07-11T00:00:00"/>
        <d v="2014-07-12T00:00:00"/>
        <d v="2014-07-13T00:00:00"/>
        <d v="2014-07-14T00:00:00"/>
        <d v="2014-07-15T00:00:00"/>
        <d v="2014-07-16T00:00:00"/>
        <d v="2014-07-17T00:00:00"/>
        <d v="2014-07-18T00:00:00"/>
        <d v="2014-07-19T00:00:00"/>
        <d v="2014-07-20T00:00:00"/>
        <d v="2014-07-21T00:00:00"/>
        <d v="2014-07-22T00:00:00"/>
        <d v="2014-07-23T00:00:00"/>
        <d v="2014-07-24T00:00:00"/>
        <d v="2014-07-25T00:00:00"/>
        <d v="2014-07-26T00:00:00"/>
        <d v="2014-07-27T00:00:00"/>
        <d v="2014-07-28T00:00:00"/>
        <d v="2014-07-29T00:00:00"/>
        <d v="2014-07-30T00:00:00"/>
        <d v="2014-07-31T00:00:00"/>
        <d v="2014-08-01T00:00:00"/>
        <d v="2014-08-02T00:00:00"/>
        <d v="2014-08-03T00:00:00"/>
        <d v="2014-08-04T00:00:00"/>
        <d v="2014-08-05T00:00:00"/>
        <d v="2014-08-06T00:00:00"/>
        <d v="2014-08-07T00:00:00"/>
        <d v="2014-08-08T00:00:00"/>
        <d v="2014-08-09T00:00:00"/>
        <d v="2014-08-10T00:00:00"/>
        <d v="2014-08-11T00:00:00"/>
        <d v="2014-08-12T00:00:00"/>
        <d v="2014-08-13T00:00:00"/>
        <d v="2014-08-14T00:00:00"/>
        <d v="2014-08-15T00:00:00"/>
        <d v="2014-08-16T00:00:00"/>
        <d v="2014-08-17T00:00:00"/>
        <d v="2014-08-18T00:00:00"/>
        <d v="2014-08-19T00:00:00"/>
        <d v="2014-08-20T00:00:00"/>
        <d v="2014-08-21T00:00:00"/>
        <d v="2014-08-22T00:00:00"/>
        <d v="2014-08-23T00:00:00"/>
        <d v="2014-08-24T00:00:00"/>
        <d v="2014-08-25T00:00:00"/>
        <d v="2014-08-26T00:00:00"/>
        <d v="2014-08-27T00:00:00"/>
        <d v="2014-08-28T00:00:00"/>
        <d v="2014-08-29T00:00:00"/>
        <d v="2014-08-30T00:00:00"/>
        <d v="2014-08-31T00:00:00"/>
        <d v="2014-09-01T00:00:00"/>
        <d v="2014-09-02T00:00:00"/>
        <d v="2014-09-03T00:00:00"/>
        <d v="2014-09-04T00:00:00"/>
        <d v="2014-09-05T00:00:00"/>
        <d v="2014-09-06T00:00:00"/>
        <d v="2014-09-07T00:00:00"/>
        <d v="2014-09-08T00:00:00"/>
        <d v="2014-09-09T00:00:00"/>
        <d v="2014-09-10T00:00:00"/>
        <d v="2014-09-11T00:00:00"/>
        <d v="2014-09-12T00:00:00"/>
        <d v="2014-09-13T00:00:00"/>
        <d v="2014-09-14T00:00:00"/>
        <d v="2014-09-15T00:00:00"/>
        <d v="2014-09-16T00:00:00"/>
        <d v="2014-09-17T00:00:00"/>
        <d v="2014-09-18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3T00:00:00"/>
        <d v="2014-10-04T00:00:00"/>
        <d v="2014-10-05T00:00:00"/>
        <d v="2014-10-06T00:00:00"/>
        <d v="2014-10-07T00:00:00"/>
        <d v="2014-10-08T00:00:00"/>
        <d v="2014-10-09T00:00:00"/>
        <d v="2014-10-10T00:00:00"/>
        <d v="2014-10-11T00:00:00"/>
        <d v="2014-10-12T00:00:00"/>
        <d v="2014-10-13T00:00:00"/>
        <d v="2014-10-14T00:00:00"/>
        <d v="2014-10-15T00:00:00"/>
        <d v="2014-10-16T00:00:00"/>
        <d v="2014-10-17T00:00:00"/>
        <d v="2014-10-18T00:00:00"/>
        <d v="2014-10-19T00:00:00"/>
        <d v="2014-10-20T00:00:00"/>
        <d v="2014-10-21T00:00:00"/>
        <d v="2014-10-22T00:00:00"/>
        <d v="2014-10-23T00:00:00"/>
        <d v="2014-10-24T00:00:00"/>
        <d v="2014-10-25T00:00:00"/>
        <d v="2014-10-26T00:00:00"/>
        <d v="2014-10-27T00:00:00"/>
        <d v="2014-10-28T00:00:00"/>
        <d v="2014-10-29T00:00:00"/>
        <d v="2014-10-30T00:00:00"/>
        <d v="2014-10-31T00:00:00"/>
        <d v="2014-11-01T00:00:00"/>
        <d v="2014-11-02T00:00:00"/>
        <d v="2014-11-03T00:00:00"/>
        <d v="2014-11-04T00:00:00"/>
        <d v="2014-11-05T00:00:00"/>
        <d v="2014-11-06T00:00:00"/>
        <d v="2014-11-07T00:00:00"/>
        <d v="2014-11-08T00:00:00"/>
        <d v="2014-11-09T00:00:00"/>
        <d v="2014-11-10T00:00:00"/>
        <d v="2014-11-11T00:00:00"/>
        <d v="2014-11-12T00:00:00"/>
        <d v="2014-11-13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1T00:00:00"/>
        <d v="2014-12-12T00:00:00"/>
        <d v="2014-12-13T00:00:00"/>
        <d v="2014-12-14T00:00:00"/>
        <d v="2014-12-15T00:00:00"/>
        <d v="2014-12-16T00:00:00"/>
        <d v="2014-12-17T00:00:00"/>
        <d v="2014-12-18T00:00:00"/>
        <d v="2014-12-19T00:00:00"/>
        <d v="2014-12-20T00:00:00"/>
        <d v="2014-12-21T00:00:00"/>
        <d v="2014-12-22T00:00:00"/>
        <d v="2014-12-23T00:00:00"/>
        <d v="2014-12-24T00:00:00"/>
        <d v="2014-12-25T00:00:00"/>
        <d v="2014-12-26T00:00:00"/>
        <d v="2014-12-27T00:00:00"/>
        <d v="2014-12-28T00:00:00"/>
        <d v="2014-12-29T00:00:00"/>
        <d v="2014-12-30T00:00:00"/>
        <d v="2014-12-31T00:00:00"/>
        <d v="2015-01-01T00:00:00"/>
        <d v="2015-01-02T00:00:00"/>
        <d v="2015-01-03T00:00:00"/>
        <d v="2015-01-04T00:00:00"/>
        <d v="2015-01-05T00:00:00"/>
        <d v="2015-01-06T00:00:00"/>
        <d v="2015-01-07T00:00:00"/>
        <d v="2015-01-08T00:00:00"/>
        <d v="2015-01-09T00:00:00"/>
        <d v="2015-01-10T00:00:00"/>
        <d v="2015-01-11T00:00:00"/>
        <d v="2015-01-12T00:00:00"/>
        <d v="2015-01-13T00:00:00"/>
        <d v="2015-01-14T00:00:00"/>
        <d v="2015-01-15T00:00:00"/>
        <d v="2015-01-16T00:00:00"/>
        <d v="2015-01-17T00:00:00"/>
        <d v="2015-01-18T00:00:00"/>
        <d v="2015-01-19T00:00:00"/>
        <d v="2015-01-20T00:00:00"/>
        <d v="2015-01-21T00:00:00"/>
        <d v="2015-01-22T00:00:00"/>
        <d v="2015-01-23T00:00:00"/>
        <d v="2015-01-24T00:00:00"/>
        <d v="2015-01-25T00:00:00"/>
        <d v="2015-01-26T00:00:00"/>
        <d v="2015-01-27T00:00:00"/>
        <d v="2015-01-28T00:00:00"/>
        <d v="2015-01-29T00:00:00"/>
        <d v="2015-01-30T00:00:00"/>
        <d v="2015-01-31T00:00:00"/>
        <d v="2015-02-01T00:00:00"/>
        <d v="2015-02-02T00:00:00"/>
        <d v="2015-02-03T00:00:00"/>
        <d v="2015-02-04T00:00:00"/>
        <d v="2015-02-05T00:00:00"/>
        <d v="2015-02-06T00:00:00"/>
        <d v="2015-02-07T00:00:00"/>
        <d v="2015-02-08T00:00:00"/>
        <d v="2015-02-09T00:00:00"/>
        <d v="2015-02-10T00:00:00"/>
        <d v="2015-02-11T00:00:00"/>
        <d v="2015-02-12T00:00:00"/>
        <d v="2015-02-13T00:00:00"/>
        <d v="2015-02-14T00:00:00"/>
        <d v="2015-02-15T00:00:00"/>
        <d v="2015-02-16T00:00:00"/>
        <d v="2015-02-17T00:00:00"/>
        <d v="2015-02-18T00:00:00"/>
        <d v="2015-02-19T00:00:00"/>
        <d v="2015-02-20T00:00:00"/>
        <d v="2015-02-21T00:00:00"/>
        <d v="2015-02-22T00:00:00"/>
        <d v="2015-02-23T00:00:00"/>
        <d v="2015-02-24T00:00:00"/>
        <d v="2015-02-25T00:00:00"/>
        <d v="2015-02-26T00:00:00"/>
        <d v="2015-02-27T00:00:00"/>
        <d v="2015-02-28T00:00:00"/>
        <d v="2015-03-01T00:00:00"/>
        <d v="2015-03-02T00:00:00"/>
        <d v="2015-03-03T00:00:00"/>
        <d v="2015-03-04T00:00:00"/>
        <d v="2015-03-05T00:00:00"/>
        <d v="2015-03-06T00:00:00"/>
        <d v="2015-03-07T00:00:00"/>
        <d v="2015-03-08T00:00:00"/>
        <d v="2015-03-09T00:00:00"/>
        <d v="2015-03-10T00:00:00"/>
        <d v="2015-03-11T00:00:00"/>
        <d v="2015-03-12T00:00:00"/>
        <d v="2015-03-13T00:00:00"/>
        <d v="2015-03-14T00:00:00"/>
        <d v="2015-03-15T00:00:00"/>
        <d v="2015-03-16T00:00:00"/>
        <d v="2015-03-17T00:00:00"/>
        <d v="2015-03-18T00:00:00"/>
        <d v="2015-03-19T00:00:00"/>
        <d v="2015-03-20T00:00:00"/>
        <d v="2015-03-21T00:00:00"/>
        <d v="2015-03-22T00:00:00"/>
        <d v="2015-03-23T00:00:00"/>
        <d v="2015-03-24T00:00:00"/>
        <d v="2015-03-25T00:00:00"/>
        <d v="2015-03-26T00:00:00"/>
        <d v="2015-03-27T00:00:00"/>
        <d v="2015-03-28T00:00:00"/>
        <d v="2015-03-29T00:00:00"/>
        <d v="2015-03-30T00:00:00"/>
        <d v="2015-03-31T00:00:00"/>
        <d v="2015-04-01T00:00:00"/>
        <d v="2015-04-02T00:00:00"/>
        <d v="2015-04-03T00:00:00"/>
        <d v="2015-04-04T00:00:00"/>
        <d v="2015-04-05T00:00:00"/>
        <d v="2015-04-06T00:00:00"/>
        <d v="2015-04-07T00:00:00"/>
        <d v="2015-04-08T00:00:00"/>
        <d v="2015-04-09T00:00:00"/>
        <d v="2015-04-10T00:00:00"/>
        <d v="2015-04-11T00:00:00"/>
        <d v="2015-04-12T00:00:00"/>
        <d v="2015-04-13T00:00:00"/>
        <d v="2015-04-14T00:00:00"/>
        <d v="2015-04-15T00:00:00"/>
        <d v="2015-04-16T00:00:00"/>
        <d v="2015-04-17T00:00:00"/>
        <d v="2015-04-18T00:00:00"/>
        <d v="2015-04-19T00:00:00"/>
        <d v="2015-04-20T00:00:00"/>
        <d v="2015-04-21T00:00:00"/>
        <d v="2015-04-22T00:00:00"/>
        <d v="2015-04-23T00:00:00"/>
        <d v="2015-04-24T00:00:00"/>
        <d v="2015-04-25T00:00:00"/>
        <d v="2015-04-26T00:00:00"/>
        <d v="2015-04-27T00:00:00"/>
        <d v="2015-04-28T00:00:00"/>
        <d v="2015-04-29T00:00:00"/>
        <d v="2015-04-30T00:00:00"/>
        <d v="2015-05-01T00:00:00"/>
        <d v="2015-05-02T00:00:00"/>
        <d v="2015-05-03T00:00:00"/>
        <d v="2015-05-04T00:00:00"/>
        <d v="2015-05-05T00:00:00"/>
        <d v="2015-05-06T00:00:00"/>
        <d v="2015-05-07T00:00:00"/>
        <d v="2015-05-08T00:00:00"/>
        <d v="2015-05-09T00:00:00"/>
        <d v="2015-05-10T00:00:00"/>
        <d v="2015-05-11T00:00:00"/>
        <d v="2015-05-12T00:00:00"/>
        <d v="2015-05-13T00:00:00"/>
        <d v="2015-05-14T00:00:00"/>
        <d v="2015-05-15T00:00:00"/>
        <d v="2015-05-16T00:00:00"/>
        <d v="2015-05-17T00:00:00"/>
        <d v="2015-05-18T00:00:00"/>
        <d v="2015-05-19T00:00:00"/>
        <d v="2015-05-20T00:00:00"/>
        <d v="2015-05-21T00:00:00"/>
        <d v="2015-05-22T00:00:00"/>
        <d v="2015-05-23T00:00:00"/>
        <d v="2015-05-24T00:00:00"/>
        <d v="2015-05-25T00:00:00"/>
        <d v="2015-05-26T00:00:00"/>
        <d v="2015-05-27T00:00:00"/>
        <d v="2015-05-28T00:00:00"/>
        <d v="2015-05-29T00:00:00"/>
        <d v="2015-05-30T00:00:00"/>
        <d v="2015-05-31T00:00:00"/>
        <d v="2015-06-01T00:00:00"/>
        <d v="2015-06-02T00:00:00"/>
        <d v="2015-06-03T00:00:00"/>
        <d v="2015-06-04T00:00:00"/>
        <d v="2015-06-05T00:00:00"/>
        <d v="2015-06-06T00:00:00"/>
        <d v="2015-06-07T00:00:00"/>
        <d v="2015-06-08T00:00:00"/>
        <d v="2015-06-09T00:00:00"/>
        <d v="2015-06-10T00:00:00"/>
        <d v="2015-06-11T00:00:00"/>
        <d v="2015-06-12T00:00:00"/>
        <d v="2015-06-13T00:00:00"/>
        <d v="2015-06-14T00:00:00"/>
        <d v="2015-06-15T00:00:00"/>
        <d v="2015-06-16T00:00:00"/>
        <d v="2015-06-17T00:00:00"/>
        <d v="2015-06-18T00:00:00"/>
        <d v="2015-06-19T00:00:00"/>
        <d v="2015-06-20T00:00:00"/>
        <d v="2015-06-21T00:00:00"/>
        <d v="2015-06-22T00:00:00"/>
        <d v="2015-06-23T00:00:00"/>
        <d v="2015-06-24T00:00:00"/>
        <d v="2015-06-25T00:00:00"/>
        <d v="2015-06-26T00:00:00"/>
        <d v="2015-06-27T00:00:00"/>
        <d v="2015-06-28T00:00:00"/>
        <d v="2015-06-29T00:00:00"/>
        <d v="2015-06-30T00:00:00"/>
        <d v="2015-07-01T00:00:00"/>
        <d v="2015-07-02T00:00:00"/>
        <d v="2015-07-03T00:00:00"/>
        <d v="2015-07-04T00:00:00"/>
        <d v="2015-07-05T00:00:00"/>
        <d v="2015-07-06T00:00:00"/>
        <d v="2015-07-07T00:00:00"/>
        <d v="2015-07-08T00:00:00"/>
        <d v="2015-07-09T00:00:00"/>
        <d v="2015-07-10T00:00:00"/>
        <d v="2015-07-11T00:00:00"/>
        <d v="2015-07-12T00:00:00"/>
        <d v="2015-07-13T00:00:00"/>
        <d v="2015-07-14T00:00:00"/>
        <d v="2015-07-15T00:00:00"/>
        <d v="2015-07-16T00:00:00"/>
        <d v="2015-07-17T00:00:00"/>
        <d v="2015-07-18T00:00:00"/>
        <d v="2015-07-19T00:00:00"/>
        <d v="2015-07-20T00:00:00"/>
        <d v="2015-07-21T00:00:00"/>
        <d v="2015-07-22T00:00:00"/>
        <d v="2015-07-23T00:00:00"/>
        <d v="2015-07-24T00:00:00"/>
        <d v="2015-07-25T00:00:00"/>
        <d v="2015-07-26T00:00:00"/>
        <d v="2015-07-27T00:00:00"/>
        <d v="2015-07-28T00:00:00"/>
        <d v="2015-07-29T00:00:00"/>
        <d v="2015-07-30T00:00:00"/>
        <d v="2015-07-31T00:00:00"/>
        <d v="2015-08-01T00:00:00"/>
        <d v="2015-08-02T00:00:00"/>
        <d v="2015-08-03T00:00:00"/>
        <d v="2015-08-04T00:00:00"/>
        <d v="2015-08-05T00:00:00"/>
        <d v="2015-08-06T00:00:00"/>
        <d v="2015-08-07T00:00:00"/>
        <d v="2015-08-08T00:00:00"/>
        <d v="2015-08-09T00:00:00"/>
        <d v="2015-08-10T00:00:00"/>
        <d v="2015-08-11T00:00:00"/>
        <d v="2015-08-12T00:00:00"/>
        <d v="2015-08-13T00:00:00"/>
        <d v="2015-08-14T00:00:00"/>
        <d v="2015-08-15T00:00:00"/>
        <d v="2015-08-16T00:00:00"/>
        <d v="2015-08-17T00:00:00"/>
        <d v="2015-08-18T00:00:00"/>
        <d v="2015-08-19T00:00:00"/>
        <d v="2015-08-20T00:00:00"/>
        <d v="2015-08-21T00:00:00"/>
        <d v="2015-08-22T00:00:00"/>
        <d v="2015-08-23T00:00:00"/>
        <d v="2015-08-24T00:00:00"/>
        <d v="2015-08-25T00:00:00"/>
        <d v="2015-08-26T00:00:00"/>
        <d v="2015-08-27T00:00:00"/>
        <d v="2015-08-28T00:00:00"/>
        <d v="2015-08-29T00:00:00"/>
        <d v="2015-08-30T00:00:00"/>
        <d v="2015-08-31T00:00:00"/>
        <d v="2015-09-01T00:00:00"/>
        <d v="2015-09-02T00:00:00"/>
        <d v="2015-09-03T00:00:00"/>
        <d v="2015-09-04T00:00:00"/>
        <d v="2015-09-05T00:00:00"/>
        <d v="2015-09-06T00:00:00"/>
        <d v="2015-09-07T00:00:00"/>
        <d v="2015-09-08T00:00:00"/>
        <d v="2015-09-09T00:00:00"/>
        <d v="2015-09-10T00:00:00"/>
        <d v="2015-09-11T00:00:00"/>
        <d v="2015-09-12T00:00:00"/>
        <d v="2015-09-13T00:00:00"/>
        <d v="2015-09-14T00:00:00"/>
        <d v="2015-09-15T00:00:00"/>
        <d v="2015-09-16T00:00:00"/>
        <d v="2015-09-17T00:00:00"/>
        <d v="2015-09-18T00:00:00"/>
        <d v="2015-09-19T00:00:00"/>
        <d v="2015-09-20T00:00:00"/>
        <d v="2015-09-21T00:00:00"/>
        <d v="2015-09-22T00:00:00"/>
        <d v="2015-09-23T00:00:00"/>
        <d v="2015-09-24T00:00:00"/>
        <d v="2015-09-25T00:00:00"/>
        <d v="2015-09-26T00:00:00"/>
        <d v="2015-09-27T00:00:00"/>
        <d v="2015-09-28T00:00:00"/>
        <d v="2015-09-29T00:00:00"/>
        <d v="2015-09-30T00:00:00"/>
        <d v="2015-10-01T00:00:00"/>
        <d v="2015-10-02T00:00:00"/>
        <d v="2015-10-03T00:00:00"/>
        <d v="2015-10-04T00:00:00"/>
        <d v="2015-10-05T00:00:00"/>
        <d v="2015-10-06T00:00:00"/>
        <d v="2015-10-07T00:00:00"/>
        <d v="2015-10-08T00:00:00"/>
        <d v="2015-10-09T00:00:00"/>
        <d v="2015-10-10T00:00:00"/>
        <d v="2015-10-11T00:00:00"/>
        <d v="2015-10-12T00:00:00"/>
        <d v="2015-10-13T00:00:00"/>
        <d v="2015-10-14T00:00:00"/>
        <d v="2015-10-15T00:00:00"/>
        <d v="2015-10-16T00:00:00"/>
        <d v="2015-10-17T00:00:00"/>
        <d v="2015-10-18T00:00:00"/>
        <d v="2015-10-19T00:00:00"/>
        <d v="2015-10-20T00:00:00"/>
        <d v="2015-10-21T00:00:00"/>
        <d v="2015-10-22T00:00:00"/>
        <d v="2015-10-23T00:00:00"/>
        <d v="2015-10-24T00:00:00"/>
        <d v="2015-10-25T00:00:00"/>
        <d v="2015-10-26T00:00:00"/>
        <d v="2015-10-27T00:00:00"/>
        <d v="2015-10-28T00:00:00"/>
        <d v="2015-10-29T00:00:00"/>
        <d v="2015-10-30T00:00:00"/>
        <d v="2015-10-31T00:00:00"/>
        <d v="2015-11-01T00:00:00"/>
        <d v="2015-11-02T00:00:00"/>
        <d v="2015-11-03T00:00:00"/>
        <d v="2015-11-04T00:00:00"/>
        <d v="2015-11-05T00:00:00"/>
        <d v="2015-11-06T00:00:00"/>
        <d v="2015-11-07T00:00:00"/>
        <d v="2015-11-08T00:00:00"/>
        <d v="2015-11-09T00:00:00"/>
        <d v="2015-11-10T00:00:00"/>
        <d v="2015-11-11T00:00:00"/>
        <d v="2015-11-12T00:00:00"/>
        <d v="2015-11-13T00:00:00"/>
        <d v="2015-11-14T00:00:00"/>
        <d v="2015-11-15T00:00:00"/>
        <d v="2015-11-16T00:00:00"/>
        <d v="2015-11-17T00:00:00"/>
        <d v="2015-11-18T00:00:00"/>
        <d v="2015-11-19T00:00:00"/>
        <d v="2015-11-20T00:00:00"/>
        <d v="2015-11-21T00:00:00"/>
        <d v="2015-11-22T00:00:00"/>
        <d v="2015-11-23T00:00:00"/>
        <d v="2015-11-24T00:00:00"/>
        <d v="2015-11-25T00:00:00"/>
        <d v="2015-11-26T00:00:00"/>
        <d v="2015-11-27T00:00:00"/>
        <d v="2015-11-28T00:00:00"/>
        <d v="2015-11-29T00:00:00"/>
        <d v="2015-11-30T00:00:00"/>
        <d v="2015-12-01T00:00:00"/>
        <d v="2015-12-02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01-01T00:00:00"/>
        <d v="2016-01-02T00:00:00"/>
        <d v="2016-01-03T00:00:00"/>
        <d v="2016-01-04T00:00:00"/>
        <d v="2016-01-05T00:00:00"/>
        <d v="2016-01-06T00:00:00"/>
        <d v="2016-01-07T00:00:00"/>
        <d v="2016-01-08T00:00:00"/>
        <d v="2016-01-09T00:00:00"/>
        <d v="2016-01-10T00:00:00"/>
        <d v="2016-01-11T00:00:00"/>
        <d v="2016-01-12T00:00:00"/>
        <d v="2016-01-13T00:00:00"/>
        <d v="2016-01-14T00:00:00"/>
        <d v="2016-01-15T00:00:00"/>
        <d v="2016-01-16T00:00:00"/>
        <d v="2016-01-17T00:00:00"/>
        <d v="2016-01-18T00:00:00"/>
        <d v="2016-01-19T00:00:00"/>
        <d v="2016-01-20T00:00:00"/>
        <d v="2016-01-21T00:00:00"/>
        <d v="2016-01-22T00:00:00"/>
        <d v="2016-01-23T00:00:00"/>
        <d v="2016-01-24T00:00:00"/>
        <d v="2016-01-25T00:00:00"/>
        <d v="2016-01-26T00:00:00"/>
        <d v="2016-01-27T00:00:00"/>
        <d v="2016-01-28T00:00:00"/>
        <d v="2016-01-29T00:00:00"/>
        <d v="2016-01-30T00:00:00"/>
        <d v="2016-01-31T00:00:00"/>
        <d v="2016-02-01T00:00:00"/>
        <d v="2016-02-02T00:00:00"/>
        <d v="2016-02-03T00:00:00"/>
        <d v="2016-02-04T00:00:00"/>
        <d v="2016-02-05T00:00:00"/>
        <d v="2016-02-06T00:00:00"/>
        <d v="2016-02-07T00:00:00"/>
        <d v="2016-02-08T00:00:00"/>
        <d v="2016-02-09T00:00:00"/>
        <d v="2016-02-10T00:00:00"/>
        <d v="2016-02-11T00:00:00"/>
        <d v="2016-02-12T00:00:00"/>
        <d v="2016-02-13T00:00:00"/>
        <d v="2016-02-14T00:00:00"/>
        <d v="2016-02-15T00:00:00"/>
        <d v="2016-02-16T00:00:00"/>
        <d v="2016-02-17T00:00:00"/>
        <d v="2016-02-18T00:00:00"/>
        <d v="2016-02-19T00:00:00"/>
        <d v="2016-02-20T00:00:00"/>
        <d v="2016-02-21T00:00:00"/>
        <d v="2016-02-22T00:00:00"/>
        <d v="2016-02-23T00:00:00"/>
        <d v="2016-02-24T00:00:00"/>
        <d v="2016-02-25T00:00:00"/>
        <d v="2016-02-26T00:00:00"/>
        <d v="2016-02-27T00:00:00"/>
        <d v="2016-02-28T00:00:00"/>
        <d v="2016-02-29T00:00:00"/>
        <d v="2016-03-01T00:00:00"/>
        <d v="2016-03-02T00:00:00"/>
        <d v="2016-03-03T00:00:00"/>
        <d v="2016-03-04T00:00:00"/>
        <d v="2016-03-05T00:00:00"/>
        <d v="2016-03-06T00:00:00"/>
        <d v="2016-03-07T00:00:00"/>
        <d v="2016-03-08T00:00:00"/>
        <d v="2016-03-09T00:00:00"/>
        <d v="2016-03-10T00:00:00"/>
        <d v="2016-03-11T00:00:00"/>
        <d v="2016-03-12T00:00:00"/>
        <d v="2016-03-13T00:00:00"/>
        <d v="2016-03-14T00:00:00"/>
        <d v="2016-03-15T00:00:00"/>
        <d v="2016-03-16T00:00:00"/>
        <d v="2016-03-17T00:00:00"/>
        <d v="2016-03-18T00:00:00"/>
        <d v="2016-03-19T00:00:00"/>
        <d v="2016-03-20T00:00:00"/>
        <d v="2016-03-21T00:00:00"/>
        <d v="2016-03-22T00:00:00"/>
        <d v="2016-03-23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1T00:00:00"/>
        <d v="2016-04-12T00:00:00"/>
        <d v="2016-04-13T00:00:00"/>
        <d v="2016-04-14T00:00:00"/>
        <d v="2016-04-15T00:00:00"/>
        <d v="2016-04-16T00:00:00"/>
        <d v="2016-04-17T00:00:00"/>
        <d v="2016-04-18T00:00:00"/>
        <d v="2016-04-19T00:00:00"/>
        <d v="2016-04-20T00:00:00"/>
        <d v="2016-04-21T00:00:00"/>
        <d v="2016-04-22T00:00:00"/>
        <d v="2016-04-23T00:00:00"/>
        <d v="2016-04-24T00:00:00"/>
        <d v="2016-04-25T00:00:00"/>
        <d v="2016-04-26T00:00:00"/>
        <d v="2016-04-27T00:00:00"/>
        <d v="2016-04-28T00:00:00"/>
        <d v="2016-04-29T00:00:00"/>
        <d v="2016-04-30T00:00:00"/>
        <d v="2016-05-01T00:00:00"/>
        <d v="2016-05-02T00:00:00"/>
        <d v="2016-05-03T00:00:00"/>
        <d v="2016-05-04T00:00:00"/>
        <d v="2016-05-05T00:00:00"/>
        <d v="2016-05-06T00:00:00"/>
        <d v="2016-05-07T00:00:00"/>
        <d v="2016-05-08T00:00:00"/>
        <d v="2016-05-09T00:00:00"/>
        <d v="2016-05-10T00:00:00"/>
        <d v="2016-05-11T00:00:00"/>
        <d v="2016-05-12T00:00:00"/>
        <d v="2016-05-13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8T00:00:00"/>
        <d v="2016-05-29T00:00:00"/>
        <d v="2016-05-30T00:00:00"/>
        <d v="2016-05-31T00:00:00"/>
        <d v="2016-06-01T00:00:00"/>
        <d v="2016-06-02T00:00:00"/>
        <d v="2016-06-03T00:00:00"/>
        <d v="2016-06-04T00:00:00"/>
        <d v="2016-06-05T00:00:00"/>
        <d v="2016-06-06T00:00:00"/>
        <d v="2016-06-07T00:00:00"/>
        <d v="2016-06-08T00:00:00"/>
        <d v="2016-06-09T00:00:00"/>
        <d v="2016-06-10T00:00:00"/>
        <d v="2016-06-11T00:00:00"/>
        <d v="2016-06-12T00:00:00"/>
        <d v="2016-06-13T00:00:00"/>
        <d v="2016-06-14T00:00:00"/>
        <d v="2016-06-15T00:00:00"/>
        <d v="2016-06-16T00:00:00"/>
        <d v="2016-06-17T00:00:00"/>
        <d v="2016-06-18T00:00:00"/>
        <d v="2016-06-19T00:00:00"/>
        <d v="2016-06-20T00:00:00"/>
        <d v="2016-06-21T00:00:00"/>
        <d v="2016-06-22T00:00:00"/>
        <d v="2016-06-23T00:00:00"/>
        <d v="2016-06-24T00:00:00"/>
        <d v="2016-06-25T00:00:00"/>
        <d v="2016-06-26T00:00:00"/>
        <d v="2016-06-27T00:00:00"/>
        <d v="2016-06-28T00:00:00"/>
        <d v="2016-06-29T00:00:00"/>
        <d v="2016-06-30T00:00:00"/>
        <d v="2016-07-01T00:00:00"/>
        <d v="2016-07-02T00:00:00"/>
        <d v="2016-07-03T00:00:00"/>
        <d v="2016-07-04T00:00:00"/>
        <d v="2016-07-05T00:00:00"/>
        <d v="2016-07-06T00:00:00"/>
        <d v="2016-07-07T00:00:00"/>
        <d v="2016-07-08T00:00:00"/>
        <d v="2016-07-09T00:00:00"/>
        <d v="2016-07-10T00:00:00"/>
        <d v="2016-07-11T00:00:00"/>
        <d v="2016-07-12T00:00:00"/>
        <d v="2016-07-13T00:00:00"/>
        <d v="2016-07-14T00:00:00"/>
        <d v="2016-07-15T00:00:00"/>
        <d v="2016-07-16T00:00:00"/>
        <d v="2016-07-17T00:00:00"/>
        <d v="2016-07-18T00:00:00"/>
        <d v="2016-07-19T00:00:00"/>
        <d v="2016-07-20T00:00:00"/>
        <d v="2016-07-21T00:00:00"/>
        <d v="2016-07-22T00:00:00"/>
        <d v="2016-07-23T00:00:00"/>
        <d v="2016-07-24T00:00:00"/>
        <d v="2016-07-25T00:00:00"/>
        <d v="2016-07-26T00:00:00"/>
        <d v="2016-07-27T00:00:00"/>
        <d v="2016-07-28T00:00:00"/>
        <d v="2016-07-29T00:00:00"/>
        <d v="2016-07-30T00:00:00"/>
        <d v="2016-07-31T00:00:00"/>
        <d v="2016-08-01T00:00:00"/>
        <d v="2016-08-02T00:00:00"/>
        <d v="2016-08-03T00:00:00"/>
        <d v="2016-08-04T00:00:00"/>
        <d v="2016-08-05T00:00:00"/>
        <d v="2016-08-06T00:00:00"/>
        <d v="2016-08-07T00:00:00"/>
        <d v="2016-08-08T00:00:00"/>
        <d v="2016-08-09T00:00:00"/>
        <d v="2016-08-10T00:00:00"/>
        <d v="2016-08-11T00:00:00"/>
        <d v="2016-08-12T00:00:00"/>
        <d v="2016-08-13T00:00:00"/>
        <d v="2016-08-14T00:00:00"/>
        <d v="2016-08-15T00:00:00"/>
        <d v="2016-08-16T00:00:00"/>
        <d v="2016-08-17T00:00:00"/>
        <d v="2016-08-18T00:00:00"/>
        <d v="2016-08-19T00:00:00"/>
        <d v="2016-08-20T00:00:00"/>
        <d v="2016-08-21T00:00:00"/>
        <d v="2016-08-22T00:00:00"/>
        <d v="2016-08-23T00:00:00"/>
        <d v="2016-08-24T00:00:00"/>
        <d v="2016-08-25T00:00:00"/>
        <d v="2016-08-26T00:00:00"/>
        <d v="2016-08-27T00:00:00"/>
        <d v="2016-08-28T00:00:00"/>
        <d v="2016-08-29T00:00:00"/>
        <d v="2016-08-30T00:00:00"/>
        <d v="2016-08-31T00:00:00"/>
        <d v="2016-09-01T00:00:00"/>
        <d v="2016-09-02T00:00:00"/>
        <d v="2016-09-03T00:00:00"/>
        <d v="2016-09-04T00:00:00"/>
        <d v="2016-09-05T00:00:00"/>
        <d v="2016-09-06T00:00:00"/>
        <d v="2016-09-07T00:00:00"/>
        <d v="2016-09-08T00:00:00"/>
        <d v="2016-09-09T00:00:00"/>
        <d v="2016-09-10T00:00:00"/>
        <d v="2016-09-11T00:00:00"/>
        <d v="2016-09-12T00:00:00"/>
        <d v="2016-09-13T00:00:00"/>
        <d v="2016-09-14T00:00:00"/>
        <d v="2016-09-15T00:00:00"/>
        <d v="2016-09-16T00:00:00"/>
        <d v="2016-09-17T00:00:00"/>
        <d v="2016-09-18T00:00:00"/>
        <d v="2016-09-19T00:00:00"/>
        <d v="2016-09-20T00:00:00"/>
        <d v="2016-09-21T00:00:00"/>
        <d v="2016-09-22T00:00:00"/>
        <d v="2016-09-23T00:00:00"/>
        <d v="2016-09-24T00:00:00"/>
        <d v="2016-09-25T00:00:00"/>
        <d v="2016-09-26T00:00:00"/>
        <d v="2016-09-27T00:00:00"/>
        <d v="2016-09-28T00:00:00"/>
        <d v="2016-09-29T00:00:00"/>
        <d v="2016-09-30T00:00:00"/>
        <d v="2016-10-01T00:00:00"/>
        <d v="2016-10-02T00:00:00"/>
        <d v="2016-10-03T00:00:00"/>
        <d v="2016-10-04T00:00:00"/>
        <d v="2016-10-05T00:00:00"/>
        <d v="2016-10-06T00:00:00"/>
        <d v="2016-10-07T00:00:00"/>
        <d v="2016-10-08T00:00:00"/>
        <d v="2016-10-09T00:00:00"/>
        <d v="2016-10-10T00:00:00"/>
        <d v="2016-10-11T00:00:00"/>
        <d v="2016-10-12T00:00:00"/>
        <d v="2016-10-13T00:00:00"/>
        <d v="2016-10-14T00:00:00"/>
        <d v="2016-10-15T00:00:00"/>
        <d v="2016-10-16T00:00:00"/>
        <d v="2016-10-17T00:00:00"/>
        <d v="2016-10-18T00:00:00"/>
        <d v="2016-10-19T00:00:00"/>
        <d v="2016-10-20T00:00:00"/>
        <d v="2016-10-21T00:00:00"/>
        <d v="2016-10-22T00:00:00"/>
        <d v="2016-10-23T00:00:00"/>
        <d v="2016-10-24T00:00:00"/>
        <d v="2016-10-25T00:00:00"/>
        <d v="2016-10-26T00:00:00"/>
        <d v="2016-10-27T00:00:00"/>
        <d v="2016-10-28T00:00:00"/>
        <d v="2016-10-29T00:00:00"/>
        <d v="2016-10-30T00:00:00"/>
        <d v="2016-10-31T00:00:00"/>
        <d v="2016-11-01T00:00:00"/>
        <d v="2016-11-02T00:00:00"/>
        <d v="2016-11-03T00:00:00"/>
        <d v="2016-11-04T00:00:00"/>
        <d v="2016-11-05T00:00:00"/>
        <d v="2016-11-06T00:00:00"/>
        <d v="2016-11-07T00:00:00"/>
        <d v="2016-11-08T00:00:00"/>
        <d v="2016-11-09T00:00:00"/>
        <d v="2016-11-10T00:00:00"/>
        <d v="2016-11-11T00:00:00"/>
        <d v="2016-11-12T00:00:00"/>
        <d v="2016-11-13T00:00:00"/>
        <d v="2016-11-14T00:00:00"/>
        <d v="2016-11-15T00:00:00"/>
        <d v="2016-11-16T00:00:00"/>
      </sharedItems>
    </cacheField>
    <cacheField name="sales" numFmtId="0">
      <sharedItems containsSemiMixedTypes="0" containsString="0" containsNumber="1" containsInteger="1" minValue="20495" maxValue="846678" count="1050">
        <n v="223938"/>
        <n v="300345"/>
        <n v="86782"/>
        <n v="200173"/>
        <n v="326906"/>
        <n v="307044"/>
        <n v="179189"/>
        <n v="306352"/>
        <n v="224020"/>
        <n v="101836"/>
        <n v="107804"/>
        <n v="144830"/>
        <n v="146571"/>
        <n v="95422"/>
        <n v="114883"/>
        <n v="80091"/>
        <n v="98945"/>
        <n v="84905"/>
        <n v="135461"/>
        <n v="149926"/>
        <n v="74297"/>
        <n v="83356"/>
        <n v="89922"/>
        <n v="57806"/>
        <n v="63978"/>
        <n v="116959"/>
        <n v="155273"/>
        <n v="82885"/>
        <n v="72353"/>
        <n v="50416"/>
        <n v="67458"/>
        <n v="64640"/>
        <n v="137694"/>
        <n v="181209"/>
        <n v="113434"/>
        <n v="143193"/>
        <n v="130127"/>
        <n v="187156"/>
        <n v="102315"/>
        <n v="301554"/>
        <n v="316073"/>
        <n v="135178"/>
        <n v="147728"/>
        <n v="135499"/>
        <n v="163433"/>
        <n v="138292"/>
        <n v="336901"/>
        <n v="367729"/>
        <n v="133914"/>
        <n v="150800"/>
        <n v="55592"/>
        <n v="106427"/>
        <n v="78941"/>
        <n v="317916"/>
        <n v="309218"/>
        <n v="138492"/>
        <n v="133146"/>
        <n v="224995"/>
        <n v="225052"/>
        <n v="344300"/>
        <n v="661876"/>
        <n v="846678"/>
        <n v="478902"/>
        <n v="538827"/>
        <n v="310346"/>
        <n v="256391"/>
        <n v="167804"/>
        <n v="465318"/>
        <n v="520147"/>
        <n v="224699"/>
        <n v="286231"/>
        <n v="187143"/>
        <n v="191700"/>
        <n v="164664"/>
        <n v="395941"/>
        <n v="518183"/>
        <n v="226618"/>
        <n v="243708"/>
        <n v="94850"/>
        <n v="92387"/>
        <n v="180395"/>
        <n v="200940"/>
        <n v="172954"/>
        <n v="70195"/>
        <n v="81378"/>
        <n v="130227"/>
        <n v="125310"/>
        <n v="119452"/>
        <n v="276175"/>
        <n v="357369"/>
        <n v="163865"/>
        <n v="190720"/>
        <n v="244535"/>
        <n v="155621"/>
        <n v="136002"/>
        <n v="190560"/>
        <n v="217111"/>
        <n v="119190"/>
        <n v="131910"/>
        <n v="118921"/>
        <n v="124828"/>
        <n v="179326"/>
        <n v="318950"/>
        <n v="375031"/>
        <n v="166394"/>
        <n v="193652"/>
        <n v="249806"/>
        <n v="294023"/>
        <n v="612236"/>
        <n v="464816"/>
        <n v="360481"/>
        <n v="114280"/>
        <n v="161171"/>
        <n v="182483"/>
        <n v="109358"/>
        <n v="98430"/>
        <n v="295741"/>
        <n v="285054"/>
        <n v="124965"/>
        <n v="124176"/>
        <n v="131843"/>
        <n v="154850"/>
        <n v="180294"/>
        <n v="163849"/>
        <n v="131437"/>
        <n v="93082"/>
        <n v="110887"/>
        <n v="119386"/>
        <n v="91720"/>
        <n v="96335"/>
        <n v="303226"/>
        <n v="431696"/>
        <n v="200407"/>
        <n v="183414"/>
        <n v="146167"/>
        <n v="201121"/>
        <n v="270124"/>
        <n v="415315"/>
        <n v="498717"/>
        <n v="166433"/>
        <n v="168521"/>
        <n v="178124"/>
        <n v="194879"/>
        <n v="115475"/>
        <n v="430521"/>
        <n v="590643"/>
        <n v="210765"/>
        <n v="218189"/>
        <n v="226132"/>
        <n v="243721"/>
        <n v="207429"/>
        <n v="503149"/>
        <n v="603749"/>
        <n v="456017"/>
        <n v="425845"/>
        <n v="328218"/>
        <n v="286406"/>
        <n v="184990"/>
        <n v="288118"/>
        <n v="391931"/>
        <n v="193773"/>
        <n v="214178"/>
        <n v="188335"/>
        <n v="174325"/>
        <n v="200272"/>
        <n v="468702"/>
        <n v="473426"/>
        <n v="224232"/>
        <n v="185606"/>
        <n v="212688"/>
        <n v="184260"/>
        <n v="113736"/>
        <n v="203165"/>
        <n v="203345"/>
        <n v="134944"/>
        <n v="138298"/>
        <n v="36693"/>
        <n v="56078"/>
        <n v="55781"/>
        <n v="131721"/>
        <n v="146169"/>
        <n v="62074"/>
        <n v="93620"/>
        <n v="180183"/>
        <n v="104761"/>
        <n v="93451"/>
        <n v="98088"/>
        <n v="117562"/>
        <n v="70153"/>
        <n v="68918"/>
        <n v="108417"/>
        <n v="81803"/>
        <n v="103999"/>
        <n v="134018"/>
        <n v="99277"/>
        <n v="49705"/>
        <n v="75385"/>
        <n v="110288"/>
        <n v="156537"/>
        <n v="80823"/>
        <n v="124616"/>
        <n v="242759"/>
        <n v="85078"/>
        <n v="86738"/>
        <n v="56674"/>
        <n v="165742"/>
        <n v="95618"/>
        <n v="515699"/>
        <n v="562590"/>
        <n v="266306"/>
        <n v="292635"/>
        <n v="212361"/>
        <n v="198019"/>
        <n v="295508"/>
        <n v="611895"/>
        <n v="628685"/>
        <n v="307273"/>
        <n v="362107"/>
        <n v="262350"/>
        <n v="80698"/>
        <n v="103273"/>
        <n v="439421"/>
        <n v="408616"/>
        <n v="195867"/>
        <n v="232347"/>
        <n v="190325"/>
        <n v="197698"/>
        <n v="177909"/>
        <n v="473322"/>
        <n v="541601"/>
        <n v="239514"/>
        <n v="255224"/>
        <n v="160372"/>
        <n v="171587"/>
        <n v="164208"/>
        <n v="376779"/>
        <n v="453633"/>
        <n v="214392"/>
        <n v="316404"/>
        <n v="242825"/>
        <n v="274712"/>
        <n v="258066"/>
        <n v="594007"/>
        <n v="717097"/>
        <n v="358171"/>
        <n v="594954"/>
        <n v="469470"/>
        <n v="464068"/>
        <n v="312312"/>
        <n v="501279"/>
        <n v="552704"/>
        <n v="234154"/>
        <n v="244481"/>
        <n v="122750"/>
        <n v="78736"/>
        <n v="70875"/>
        <n v="148634"/>
        <n v="171725"/>
        <n v="86436"/>
        <n v="120236"/>
        <n v="83204"/>
        <n v="73768"/>
        <n v="69425"/>
        <n v="137155"/>
        <n v="153569"/>
        <n v="75633"/>
        <n v="90816"/>
        <n v="110118"/>
        <n v="209908"/>
        <n v="358366"/>
        <n v="585464"/>
        <n v="617019"/>
        <n v="283851"/>
        <n v="264317"/>
        <n v="358025"/>
        <n v="594438"/>
        <n v="470508"/>
        <n v="518694"/>
        <n v="656246"/>
        <n v="280055"/>
        <n v="375648"/>
        <n v="78112"/>
        <n v="70509"/>
        <n v="103281"/>
        <n v="179841"/>
        <n v="138038"/>
        <n v="61038"/>
        <n v="86800"/>
        <n v="69571"/>
        <n v="130476"/>
        <n v="95230"/>
        <n v="121058"/>
        <n v="169499"/>
        <n v="90692"/>
        <n v="101724"/>
        <n v="103396"/>
        <n v="99076"/>
        <n v="97476"/>
        <n v="248975"/>
        <n v="302722"/>
        <n v="128521"/>
        <n v="145185"/>
        <n v="89528"/>
        <n v="81992"/>
        <n v="69704"/>
        <n v="166652"/>
        <n v="247453"/>
        <n v="148476"/>
        <n v="205369"/>
        <n v="99245"/>
        <n v="72757"/>
        <n v="86867"/>
        <n v="140168"/>
        <n v="160727"/>
        <n v="74116"/>
        <n v="76103"/>
        <n v="56303"/>
        <n v="49437"/>
        <n v="55033"/>
        <n v="149808"/>
        <n v="180686"/>
        <n v="75871"/>
        <n v="86313"/>
        <n v="62632"/>
        <n v="48529"/>
        <n v="51041"/>
        <n v="53974"/>
        <n v="47498"/>
        <n v="31220"/>
        <n v="26870"/>
        <n v="40531"/>
        <n v="30371"/>
        <n v="37777"/>
        <n v="46818"/>
        <n v="88322"/>
        <n v="101038"/>
        <n v="105101"/>
        <n v="88220"/>
        <n v="71590"/>
        <n v="54997"/>
        <n v="77884"/>
        <n v="150370"/>
        <n v="104675"/>
        <n v="90122"/>
        <n v="75425"/>
        <n v="161845"/>
        <n v="158603"/>
        <n v="279092"/>
        <n v="369351"/>
        <n v="177500"/>
        <n v="282247"/>
        <n v="166038"/>
        <n v="148911"/>
        <n v="202359"/>
        <n v="274344"/>
        <n v="316167"/>
        <n v="173833"/>
        <n v="204565"/>
        <n v="316395"/>
        <n v="486230"/>
        <n v="137687"/>
        <n v="48103"/>
        <n v="110162"/>
        <n v="69051"/>
        <n v="133307"/>
        <n v="216390"/>
        <n v="365055"/>
        <n v="112161"/>
        <n v="271101"/>
        <n v="245813"/>
        <n v="178395"/>
        <n v="220444"/>
        <n v="181534"/>
        <n v="83176"/>
        <n v="76895"/>
        <n v="123859"/>
        <n v="120808"/>
        <n v="69597"/>
        <n v="84738"/>
        <n v="64654"/>
        <n v="59553"/>
        <n v="79081"/>
        <n v="149444"/>
        <n v="170624"/>
        <n v="74744"/>
        <n v="90144"/>
        <n v="97827"/>
        <n v="62796"/>
        <n v="66551"/>
        <n v="154671"/>
        <n v="158722"/>
        <n v="78092"/>
        <n v="91830"/>
        <n v="76993"/>
        <n v="59898"/>
        <n v="57310"/>
        <n v="134540"/>
        <n v="200194"/>
        <n v="171470"/>
        <n v="151737"/>
        <n v="102072"/>
        <n v="82514"/>
        <n v="46211"/>
        <n v="85730"/>
        <n v="105918"/>
        <n v="73042"/>
        <n v="97909"/>
        <n v="138667"/>
        <n v="162162"/>
        <n v="138520"/>
        <n v="358597"/>
        <n v="424010"/>
        <n v="203861"/>
        <n v="220506"/>
        <n v="139936"/>
        <n v="161065"/>
        <n v="144329"/>
        <n v="293072"/>
        <n v="267782"/>
        <n v="136053"/>
        <n v="86703"/>
        <n v="95474"/>
        <n v="198432"/>
        <n v="157292"/>
        <n v="307541"/>
        <n v="350899"/>
        <n v="256702"/>
        <n v="234706"/>
        <n v="249381"/>
        <n v="258211"/>
        <n v="145976"/>
        <n v="269240"/>
        <n v="306920"/>
        <n v="122107"/>
        <n v="117661"/>
        <n v="62500"/>
        <n v="57064"/>
        <n v="48008"/>
        <n v="117447"/>
        <n v="150592"/>
        <n v="67152"/>
        <n v="80635"/>
        <n v="50670"/>
        <n v="48649"/>
        <n v="43213"/>
        <n v="96881"/>
        <n v="121361"/>
        <n v="66954"/>
        <n v="81342"/>
        <n v="125061"/>
        <n v="253219"/>
        <n v="229184"/>
        <n v="354191"/>
        <n v="459485"/>
        <n v="224103"/>
        <n v="215204"/>
        <n v="355535"/>
        <n v="498894"/>
        <n v="715032"/>
        <n v="510289"/>
        <n v="400302"/>
        <n v="135578"/>
        <n v="182466"/>
        <n v="176814"/>
        <n v="100918"/>
        <n v="74691"/>
        <n v="114067"/>
        <n v="126508"/>
        <n v="79649"/>
        <n v="83137"/>
        <n v="40776"/>
        <n v="58278"/>
        <n v="50000"/>
        <n v="103912"/>
        <n v="132843"/>
        <n v="62787"/>
        <n v="57233"/>
        <n v="56874"/>
        <n v="132738"/>
        <n v="60310"/>
        <n v="343587"/>
        <n v="496882"/>
        <n v="200370"/>
        <n v="194028"/>
        <n v="190561"/>
        <n v="198985"/>
        <n v="385483"/>
        <n v="499703"/>
        <n v="461667"/>
        <n v="259542"/>
        <n v="320309"/>
        <n v="239923"/>
        <n v="224994"/>
        <n v="117198"/>
        <n v="330589"/>
        <n v="389972"/>
        <n v="166536"/>
        <n v="198443"/>
        <n v="193182"/>
        <n v="166403"/>
        <n v="149179"/>
        <n v="380593"/>
        <n v="413700"/>
        <n v="177160"/>
        <n v="196421"/>
        <n v="137941"/>
        <n v="166176"/>
        <n v="84604"/>
        <n v="321821"/>
        <n v="418715"/>
        <n v="169541"/>
        <n v="256435"/>
        <n v="199386"/>
        <n v="243554"/>
        <n v="217746"/>
        <n v="472161"/>
        <n v="546135"/>
        <n v="264637"/>
        <n v="440906"/>
        <n v="334319"/>
        <n v="269836"/>
        <n v="201146"/>
        <n v="293461"/>
        <n v="349413"/>
        <n v="179603"/>
        <n v="109811"/>
        <n v="76957"/>
        <n v="71200"/>
        <n v="68988"/>
        <n v="155157"/>
        <n v="185110"/>
        <n v="83780"/>
        <n v="149502"/>
        <n v="100477"/>
        <n v="89073"/>
        <n v="78747"/>
        <n v="141913"/>
        <n v="169304"/>
        <n v="89512"/>
        <n v="85984"/>
        <n v="64956"/>
        <n v="106613"/>
        <n v="183844"/>
        <n v="319580"/>
        <n v="369246"/>
        <n v="185648"/>
        <n v="165558"/>
        <n v="212465"/>
        <n v="305232"/>
        <n v="250482"/>
        <n v="268410"/>
        <n v="316365"/>
        <n v="156873"/>
        <n v="173988"/>
        <n v="135754"/>
        <n v="84427"/>
        <n v="70815"/>
        <n v="125983"/>
        <n v="142378"/>
        <n v="57428"/>
        <n v="63331"/>
        <n v="51241"/>
        <n v="80326"/>
        <n v="71913"/>
        <n v="119204"/>
        <n v="129441"/>
        <n v="77646"/>
        <n v="69927"/>
        <n v="71973"/>
        <n v="44305"/>
        <n v="66800"/>
        <n v="125690"/>
        <n v="138625"/>
        <n v="81715"/>
        <n v="86843"/>
        <n v="56977"/>
        <n v="53434"/>
        <n v="55134"/>
        <n v="145034"/>
        <n v="173307"/>
        <n v="88154"/>
        <n v="81142"/>
        <n v="77673"/>
        <n v="75483"/>
        <n v="74355"/>
        <n v="120327"/>
        <n v="131868"/>
        <n v="75504"/>
        <n v="69968"/>
        <n v="60187"/>
        <n v="44699"/>
        <n v="39463"/>
        <n v="85794"/>
        <n v="117288"/>
        <n v="71056"/>
        <n v="64394"/>
        <n v="35166"/>
        <n v="23234"/>
        <n v="24755"/>
        <n v="76691"/>
        <n v="102231"/>
        <n v="56975"/>
        <n v="59443"/>
        <n v="217683"/>
        <n v="275459"/>
        <n v="228732"/>
        <n v="387639"/>
        <n v="461188"/>
        <n v="202250"/>
        <n v="332560"/>
        <n v="384807"/>
        <n v="345776"/>
        <n v="271551"/>
        <n v="340440"/>
        <n v="364417"/>
        <n v="164720"/>
        <n v="178921"/>
        <n v="70287"/>
        <n v="76014"/>
        <n v="48407"/>
        <n v="85940"/>
        <n v="57382"/>
        <n v="32480"/>
        <n v="52160"/>
        <n v="51003"/>
        <n v="30195"/>
        <n v="29751"/>
        <n v="68505"/>
        <n v="68997"/>
        <n v="41856"/>
        <n v="44303"/>
        <n v="46599"/>
        <n v="125183"/>
        <n v="150037"/>
        <n v="368038"/>
        <n v="351320"/>
        <n v="163290"/>
        <n v="190892"/>
        <n v="143082"/>
        <n v="323549"/>
        <n v="402312"/>
        <n v="393635"/>
        <n v="451100"/>
        <n v="202903"/>
        <n v="294558"/>
        <n v="221618"/>
        <n v="63968"/>
        <n v="59610"/>
        <n v="126588"/>
        <n v="119755"/>
        <n v="57413"/>
        <n v="57749"/>
        <n v="40141"/>
        <n v="42196"/>
        <n v="53491"/>
        <n v="110809"/>
        <n v="111527"/>
        <n v="59808"/>
        <n v="55166"/>
        <n v="42055"/>
        <n v="53678"/>
        <n v="55930"/>
        <n v="185771"/>
        <n v="253117"/>
        <n v="118618"/>
        <n v="123321"/>
        <n v="117051"/>
        <n v="159300"/>
        <n v="119047"/>
        <n v="285082"/>
        <n v="391656"/>
        <n v="274815"/>
        <n v="269555"/>
        <n v="192001"/>
        <n v="201368"/>
        <n v="111875"/>
        <n v="214540"/>
        <n v="280264"/>
        <n v="134137"/>
        <n v="94243"/>
        <n v="131436"/>
        <n v="147894"/>
        <n v="140238"/>
        <n v="358184"/>
        <n v="377937"/>
        <n v="168730"/>
        <n v="177193"/>
        <n v="152369"/>
        <n v="147472"/>
        <n v="145697"/>
        <n v="301034"/>
        <n v="309518"/>
        <n v="152505"/>
        <n v="79712"/>
        <n v="111021"/>
        <n v="243161"/>
        <n v="311443"/>
        <n v="375876"/>
        <n v="434640"/>
        <n v="238638"/>
        <n v="260654"/>
        <n v="262395"/>
        <n v="248438"/>
        <n v="201049"/>
        <n v="317691"/>
        <n v="378528"/>
        <n v="195425"/>
        <n v="90442"/>
        <n v="117649"/>
        <n v="141285"/>
        <n v="133184"/>
        <n v="229672"/>
        <n v="333489"/>
        <n v="185423"/>
        <n v="220272"/>
        <n v="234468"/>
        <n v="213778"/>
        <n v="273563"/>
        <n v="337507"/>
        <n v="155313"/>
        <n v="289243"/>
        <n v="313125"/>
        <n v="268330"/>
        <n v="392228"/>
        <n v="133729"/>
        <n v="82778"/>
        <n v="69523"/>
        <n v="133021"/>
        <n v="161268"/>
        <n v="208583"/>
        <n v="325458"/>
        <n v="111650"/>
        <n v="262421"/>
        <n v="164528"/>
        <n v="274990"/>
        <n v="215738"/>
        <n v="98647"/>
        <n v="74401"/>
        <n v="106592"/>
        <n v="134630"/>
        <n v="90774"/>
        <n v="121373"/>
        <n v="99446"/>
        <n v="67588"/>
        <n v="61686"/>
        <n v="150007"/>
        <n v="191287"/>
        <n v="92595"/>
        <n v="96947"/>
        <n v="70513"/>
        <n v="159590"/>
        <n v="67046"/>
        <n v="266949"/>
        <n v="315272"/>
        <n v="149139"/>
        <n v="215171"/>
        <n v="205198"/>
        <n v="214452"/>
        <n v="195768"/>
        <n v="397984"/>
        <n v="512603"/>
        <n v="218104"/>
        <n v="339004"/>
        <n v="278116"/>
        <n v="264159"/>
        <n v="197778"/>
        <n v="325749"/>
        <n v="371562"/>
        <n v="174582"/>
        <n v="208489"/>
        <n v="84495"/>
        <n v="76661"/>
        <n v="64035"/>
        <n v="148840"/>
        <n v="172542"/>
        <n v="87992"/>
        <n v="123445"/>
        <n v="77345"/>
        <n v="158963"/>
        <n v="69598"/>
        <n v="161276"/>
        <n v="325215"/>
        <n v="96957"/>
        <n v="85224"/>
        <n v="54613"/>
        <n v="81531"/>
        <n v="160948"/>
        <n v="188736"/>
        <n v="215952"/>
        <n v="134996"/>
        <n v="163079"/>
        <n v="180829"/>
        <n v="171196"/>
        <n v="129719"/>
        <n v="142128"/>
        <n v="152124"/>
        <n v="74133"/>
        <n v="91143"/>
        <n v="60528"/>
        <n v="38341"/>
        <n v="37453"/>
        <n v="77997"/>
        <n v="79752"/>
        <n v="37156"/>
        <n v="45047"/>
        <n v="55489"/>
        <n v="41893"/>
        <n v="34349"/>
        <n v="78277"/>
        <n v="92851"/>
        <n v="54846"/>
        <n v="48038"/>
        <n v="65906"/>
        <n v="84870"/>
        <n v="262460"/>
        <n v="228124"/>
        <n v="162929"/>
        <n v="58360"/>
        <n v="85605"/>
        <n v="84836"/>
        <n v="64309"/>
        <n v="131168"/>
        <n v="232410"/>
        <n v="195831"/>
        <n v="90717"/>
        <n v="131638"/>
        <n v="81911"/>
        <n v="54822"/>
        <n v="155615"/>
        <n v="264087"/>
        <n v="272761"/>
        <n v="104689"/>
        <n v="131171"/>
        <n v="123179"/>
        <n v="124431"/>
        <n v="162167"/>
        <n v="354042"/>
        <n v="327352"/>
        <n v="164809"/>
        <n v="151158"/>
        <n v="126896"/>
        <n v="166395"/>
        <n v="167796"/>
        <n v="351146"/>
        <n v="420739"/>
        <n v="186166"/>
        <n v="251450"/>
        <n v="280322"/>
        <n v="313435"/>
        <n v="257325"/>
        <n v="455554"/>
        <n v="556865"/>
        <n v="354856"/>
        <n v="283285"/>
        <n v="297501"/>
        <n v="285968"/>
        <n v="237947"/>
        <n v="340852"/>
        <n v="388188"/>
        <n v="139179"/>
        <n v="66400"/>
        <n v="42724"/>
        <n v="35014"/>
        <n v="27210"/>
        <n v="79840"/>
        <n v="82484"/>
        <n v="51497"/>
        <n v="42872"/>
        <n v="39105"/>
        <n v="34407"/>
        <n v="39404"/>
        <n v="96831"/>
        <n v="99380"/>
        <n v="61656"/>
        <n v="69164"/>
        <n v="113113"/>
        <n v="253686"/>
        <n v="210305"/>
        <n v="364087"/>
        <n v="397480"/>
        <n v="204028"/>
        <n v="172798"/>
        <n v="258971"/>
        <n v="368790"/>
        <n v="278071"/>
        <n v="373959"/>
        <n v="402057"/>
        <n v="205719"/>
        <n v="177627"/>
        <n v="70442"/>
        <n v="162924"/>
        <n v="138753"/>
        <n v="252458"/>
        <n v="293918"/>
        <n v="138350"/>
        <n v="130067"/>
        <n v="107169"/>
        <n v="224031"/>
        <n v="201918"/>
        <n v="329344"/>
        <n v="308643"/>
        <n v="134472"/>
        <n v="143810"/>
        <n v="123252"/>
        <n v="40067"/>
        <n v="143753"/>
        <n v="389904"/>
        <n v="461281"/>
        <n v="221579"/>
        <n v="253702"/>
        <n v="200616"/>
        <n v="211701"/>
        <n v="282758"/>
        <n v="479010"/>
        <n v="454543"/>
        <n v="242185"/>
        <n v="281532"/>
        <n v="219363"/>
        <n v="204006"/>
        <n v="69579"/>
        <n v="87185"/>
        <n v="78700"/>
        <n v="39810"/>
        <n v="45839"/>
        <n v="36852"/>
        <n v="33226"/>
        <n v="30423"/>
        <n v="80346"/>
        <n v="95297"/>
        <n v="45324"/>
        <n v="51604"/>
        <n v="37870"/>
        <n v="35170"/>
        <n v="61148"/>
        <n v="77172"/>
        <n v="40881"/>
        <n v="43086"/>
        <n v="43895"/>
        <n v="67781"/>
        <n v="51908"/>
        <n v="93509"/>
        <n v="95344"/>
        <n v="59515"/>
        <n v="65134"/>
        <n v="70641"/>
        <n v="48442"/>
        <n v="46291"/>
        <n v="73453"/>
        <n v="71509"/>
        <n v="30066"/>
        <n v="37727"/>
        <n v="30832"/>
        <n v="146811"/>
        <n v="99867"/>
        <n v="210665"/>
        <n v="266271"/>
        <n v="123084"/>
        <n v="162728"/>
        <n v="114709"/>
        <n v="122319"/>
        <n v="112010"/>
        <n v="229861"/>
        <n v="249981"/>
        <n v="136480"/>
        <n v="127370"/>
        <n v="43538"/>
        <n v="120407"/>
        <n v="226376"/>
        <n v="337900"/>
        <n v="355070"/>
        <n v="153894"/>
        <n v="159626"/>
        <n v="133962"/>
        <n v="236305"/>
        <n v="313492"/>
        <n v="370355"/>
        <n v="369091"/>
        <n v="209026"/>
        <n v="228177"/>
        <n v="154495"/>
        <n v="50736"/>
        <n v="43292"/>
        <n v="77336"/>
        <n v="85070"/>
        <n v="48832"/>
        <n v="52075"/>
        <n v="30425"/>
        <n v="20495"/>
        <n v="40742"/>
        <n v="69865"/>
        <n v="100121"/>
        <n v="49825"/>
        <n v="46566"/>
        <n v="37924"/>
        <n v="50085"/>
        <n v="41886"/>
        <n v="147504"/>
        <n v="151639"/>
        <n v="72457"/>
        <n v="67355"/>
        <n v="58942"/>
        <n v="58797"/>
        <n v="57019"/>
        <n v="155918"/>
        <n v="118580"/>
        <n v="142759"/>
        <n v="96621"/>
        <n v="78862"/>
        <n v="70279"/>
        <n v="87749"/>
        <n v="92053"/>
        <n v="51751"/>
        <n v="50935"/>
        <n v="36114"/>
        <n v="31023"/>
        <n v="22334"/>
        <n v="69441"/>
        <n v="92159"/>
        <n v="57296"/>
        <n v="57185"/>
        <n v="40951"/>
        <n v="37672"/>
        <n v="38648"/>
        <n v="96021"/>
        <n v="105663"/>
        <n v="54738"/>
        <n v="40132"/>
        <n v="70403"/>
        <n v="62502"/>
        <n v="53675"/>
        <n v="102606"/>
        <n v="124988"/>
        <n v="67521"/>
        <n v="70021"/>
        <n v="126954"/>
        <n v="97558"/>
        <n v="97039"/>
        <n v="168349"/>
        <n v="202017"/>
        <n v="108459"/>
        <n v="112536"/>
        <n v="100480"/>
        <n v="81650"/>
        <n v="71529"/>
        <n v="160939"/>
        <n v="164999"/>
        <n v="97947"/>
        <n v="87834"/>
        <n v="95509"/>
        <n v="77230"/>
      </sharedItems>
    </cacheField>
    <cacheField name="cost_of_sales" numFmtId="0">
      <sharedItems containsSemiMixedTypes="0" containsString="0" containsNumber="1" containsInteger="1" minValue="18375" maxValue="872082"/>
    </cacheField>
    <cacheField name="quantity_sold" numFmtId="0">
      <sharedItems containsSemiMixedTypes="0" containsString="0" containsNumber="1" containsInteger="1" minValue="508" maxValue="26410"/>
    </cacheField>
    <cacheField name="year" numFmtId="0">
      <sharedItems containsSemiMixedTypes="0" containsString="0" containsNumber="1" containsInteger="1" minValue="2013" maxValue="2016" count="4">
        <n v="2013"/>
        <n v="2014"/>
        <n v="2015"/>
        <n v="2016"/>
      </sharedItems>
    </cacheField>
    <cacheField name="month_number" numFmtId="0">
      <sharedItems containsSemiMixedTypes="0" containsString="0" containsNumber="1" containsInteger="1" minValue="1" maxValue="12"/>
    </cacheField>
    <cacheField name="month" numFmtId="0">
      <sharedItems count="12">
        <s v="December"/>
        <s v="January"/>
        <s v="February"/>
        <s v="March"/>
        <s v="April"/>
        <s v="May"/>
        <s v="June"/>
        <s v="July"/>
        <s v="August"/>
        <s v="September"/>
        <s v="October"/>
        <s v="November"/>
      </sharedItems>
    </cacheField>
    <cacheField name="quarter" numFmtId="0">
      <sharedItems containsSemiMixedTypes="0" containsString="0" containsNumber="1" containsInteger="1" minValue="1" maxValue="4"/>
    </cacheField>
    <cacheField name="day" numFmtId="0">
      <sharedItems containsSemiMixedTypes="0" containsString="0" containsNumber="1" containsInteger="1" minValue="1" maxValue="31"/>
    </cacheField>
    <cacheField name="day_of_week" numFmtId="0">
      <sharedItems count="7">
        <s v="Mon"/>
        <s v="Tue"/>
        <s v="Wed"/>
        <s v="Thu"/>
        <s v="Fri"/>
        <s v="Sat"/>
        <s v="Sun"/>
      </sharedItems>
    </cacheField>
    <cacheField name="sales_price_per_unit" numFmtId="0">
      <sharedItems containsSemiMixedTypes="0" containsString="0" containsNumber="1" containsInteger="1" minValue="31" maxValue="44" count="14">
        <n v="33"/>
        <n v="32"/>
        <n v="34"/>
        <n v="31"/>
        <n v="35"/>
        <n v="36"/>
        <n v="37"/>
        <n v="39"/>
        <n v="38"/>
        <n v="42"/>
        <n v="43"/>
        <n v="41"/>
        <n v="40"/>
        <n v="44"/>
      </sharedItems>
    </cacheField>
    <cacheField name="gross_profit" numFmtId="0">
      <sharedItems containsSemiMixedTypes="0" containsString="0" containsNumber="1" containsInteger="1" minValue="-80692" maxValue="27832"/>
    </cacheField>
    <cacheField name="gross_profit_per_unit" numFmtId="0">
      <sharedItems containsSemiMixedTypes="0" containsString="0" containsNumber="1" containsInteger="1" minValue="-5" maxValue="6"/>
    </cacheField>
    <cacheField name="gross_profit_percentage" numFmtId="0">
      <sharedItems containsSemiMixedTypes="0" containsString="0" containsNumber="1" containsInteger="1" minValue="-15" maxValue="14"/>
    </cacheField>
    <cacheField name="gross_profit_percentage_per_unit" numFmtId="0">
      <sharedItems containsSemiMixedTypes="0" containsString="0" containsNumber="1" containsInteger="1" minValue="-15" maxValue="14"/>
    </cacheField>
  </cacheFields>
  <extLst>
    <ext xmlns:x14="http://schemas.microsoft.com/office/spreadsheetml/2009/9/main" uri="{725AE2AE-9491-48be-B2B4-4EB974FC3084}">
      <x14:pivotCacheDefinition pivotCacheId="18850058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53">
  <r>
    <x v="0"/>
    <x v="0"/>
    <n v="230080"/>
    <n v="6827"/>
    <x v="0"/>
    <n v="12"/>
    <x v="0"/>
    <n v="4"/>
    <n v="30"/>
    <x v="0"/>
    <x v="0"/>
    <n v="-6142"/>
    <n v="-1"/>
    <n v="-3"/>
    <n v="-3"/>
  </r>
  <r>
    <x v="1"/>
    <x v="1"/>
    <n v="306986"/>
    <n v="9268"/>
    <x v="0"/>
    <n v="12"/>
    <x v="0"/>
    <n v="4"/>
    <n v="31"/>
    <x v="1"/>
    <x v="1"/>
    <n v="-6641"/>
    <n v="-1"/>
    <n v="-2"/>
    <n v="-2"/>
  </r>
  <r>
    <x v="2"/>
    <x v="2"/>
    <n v="87986"/>
    <n v="2678"/>
    <x v="1"/>
    <n v="1"/>
    <x v="1"/>
    <n v="1"/>
    <n v="1"/>
    <x v="2"/>
    <x v="1"/>
    <n v="-1204"/>
    <n v="0"/>
    <n v="-1"/>
    <n v="-1"/>
  </r>
  <r>
    <x v="3"/>
    <x v="3"/>
    <n v="202881"/>
    <n v="6175"/>
    <x v="1"/>
    <n v="1"/>
    <x v="1"/>
    <n v="1"/>
    <n v="2"/>
    <x v="3"/>
    <x v="1"/>
    <n v="-2708"/>
    <n v="0"/>
    <n v="-1"/>
    <n v="-1"/>
  </r>
  <r>
    <x v="4"/>
    <x v="4"/>
    <n v="333806"/>
    <n v="10084"/>
    <x v="1"/>
    <n v="1"/>
    <x v="1"/>
    <n v="1"/>
    <n v="3"/>
    <x v="4"/>
    <x v="1"/>
    <n v="-6900"/>
    <n v="-1"/>
    <n v="-2"/>
    <n v="-2"/>
  </r>
  <r>
    <x v="5"/>
    <x v="5"/>
    <n v="313652"/>
    <n v="9470"/>
    <x v="1"/>
    <n v="1"/>
    <x v="1"/>
    <n v="1"/>
    <n v="4"/>
    <x v="5"/>
    <x v="1"/>
    <n v="-6608"/>
    <n v="-1"/>
    <n v="-2"/>
    <n v="-2"/>
  </r>
  <r>
    <x v="6"/>
    <x v="6"/>
    <n v="183083"/>
    <n v="5524"/>
    <x v="1"/>
    <n v="1"/>
    <x v="1"/>
    <n v="1"/>
    <n v="5"/>
    <x v="6"/>
    <x v="1"/>
    <n v="-3894"/>
    <n v="-1"/>
    <n v="-2"/>
    <n v="-2"/>
  </r>
  <r>
    <x v="7"/>
    <x v="7"/>
    <n v="313446"/>
    <n v="9448"/>
    <x v="1"/>
    <n v="1"/>
    <x v="1"/>
    <n v="1"/>
    <n v="6"/>
    <x v="0"/>
    <x v="1"/>
    <n v="-7094"/>
    <n v="-1"/>
    <n v="-2"/>
    <n v="-2"/>
  </r>
  <r>
    <x v="8"/>
    <x v="8"/>
    <n v="229534"/>
    <n v="6911"/>
    <x v="1"/>
    <n v="1"/>
    <x v="1"/>
    <n v="1"/>
    <n v="7"/>
    <x v="1"/>
    <x v="1"/>
    <n v="-5514"/>
    <n v="-1"/>
    <n v="-2"/>
    <n v="-2"/>
  </r>
  <r>
    <x v="9"/>
    <x v="9"/>
    <n v="99382"/>
    <n v="2990"/>
    <x v="1"/>
    <n v="1"/>
    <x v="1"/>
    <n v="1"/>
    <n v="8"/>
    <x v="2"/>
    <x v="2"/>
    <n v="2454"/>
    <n v="1"/>
    <n v="2"/>
    <n v="2"/>
  </r>
  <r>
    <x v="10"/>
    <x v="10"/>
    <n v="104816"/>
    <n v="3159"/>
    <x v="1"/>
    <n v="1"/>
    <x v="1"/>
    <n v="1"/>
    <n v="9"/>
    <x v="3"/>
    <x v="2"/>
    <n v="2988"/>
    <n v="1"/>
    <n v="3"/>
    <n v="3"/>
  </r>
  <r>
    <x v="11"/>
    <x v="11"/>
    <n v="141334"/>
    <n v="4246"/>
    <x v="1"/>
    <n v="1"/>
    <x v="1"/>
    <n v="1"/>
    <n v="10"/>
    <x v="4"/>
    <x v="2"/>
    <n v="3496"/>
    <n v="1"/>
    <n v="2"/>
    <n v="2"/>
  </r>
  <r>
    <x v="12"/>
    <x v="12"/>
    <n v="143180"/>
    <n v="4297"/>
    <x v="1"/>
    <n v="1"/>
    <x v="1"/>
    <n v="1"/>
    <n v="11"/>
    <x v="5"/>
    <x v="2"/>
    <n v="3392"/>
    <n v="1"/>
    <n v="2"/>
    <n v="2"/>
  </r>
  <r>
    <x v="13"/>
    <x v="13"/>
    <n v="93126"/>
    <n v="2796"/>
    <x v="1"/>
    <n v="1"/>
    <x v="1"/>
    <n v="1"/>
    <n v="12"/>
    <x v="6"/>
    <x v="2"/>
    <n v="2296"/>
    <n v="1"/>
    <n v="2"/>
    <n v="2"/>
  </r>
  <r>
    <x v="14"/>
    <x v="14"/>
    <n v="112186"/>
    <n v="3369"/>
    <x v="1"/>
    <n v="1"/>
    <x v="1"/>
    <n v="1"/>
    <n v="13"/>
    <x v="0"/>
    <x v="2"/>
    <n v="2697"/>
    <n v="1"/>
    <n v="2"/>
    <n v="2"/>
  </r>
  <r>
    <x v="15"/>
    <x v="15"/>
    <n v="78097"/>
    <n v="2348"/>
    <x v="1"/>
    <n v="1"/>
    <x v="1"/>
    <n v="1"/>
    <n v="14"/>
    <x v="1"/>
    <x v="2"/>
    <n v="1994"/>
    <n v="1"/>
    <n v="2"/>
    <n v="2"/>
  </r>
  <r>
    <x v="16"/>
    <x v="16"/>
    <n v="97159"/>
    <n v="2903"/>
    <x v="1"/>
    <n v="1"/>
    <x v="1"/>
    <n v="1"/>
    <n v="15"/>
    <x v="2"/>
    <x v="2"/>
    <n v="1786"/>
    <n v="1"/>
    <n v="2"/>
    <n v="2"/>
  </r>
  <r>
    <x v="17"/>
    <x v="17"/>
    <n v="83350"/>
    <n v="2491"/>
    <x v="1"/>
    <n v="1"/>
    <x v="1"/>
    <n v="1"/>
    <n v="16"/>
    <x v="3"/>
    <x v="2"/>
    <n v="1554"/>
    <n v="1"/>
    <n v="2"/>
    <n v="2"/>
  </r>
  <r>
    <x v="18"/>
    <x v="18"/>
    <n v="132703"/>
    <n v="3968"/>
    <x v="1"/>
    <n v="1"/>
    <x v="1"/>
    <n v="1"/>
    <n v="17"/>
    <x v="4"/>
    <x v="2"/>
    <n v="2757"/>
    <n v="1"/>
    <n v="2"/>
    <n v="2"/>
  </r>
  <r>
    <x v="19"/>
    <x v="19"/>
    <n v="146928"/>
    <n v="4393"/>
    <x v="1"/>
    <n v="1"/>
    <x v="1"/>
    <n v="1"/>
    <n v="18"/>
    <x v="5"/>
    <x v="2"/>
    <n v="2997"/>
    <n v="1"/>
    <n v="2"/>
    <n v="2"/>
  </r>
  <r>
    <x v="20"/>
    <x v="20"/>
    <n v="72782"/>
    <n v="2176"/>
    <x v="1"/>
    <n v="1"/>
    <x v="1"/>
    <n v="1"/>
    <n v="19"/>
    <x v="6"/>
    <x v="2"/>
    <n v="1515"/>
    <n v="1"/>
    <n v="2"/>
    <n v="2"/>
  </r>
  <r>
    <x v="21"/>
    <x v="21"/>
    <n v="81789"/>
    <n v="2443"/>
    <x v="1"/>
    <n v="1"/>
    <x v="1"/>
    <n v="1"/>
    <n v="20"/>
    <x v="0"/>
    <x v="2"/>
    <n v="1567"/>
    <n v="1"/>
    <n v="2"/>
    <n v="2"/>
  </r>
  <r>
    <x v="22"/>
    <x v="22"/>
    <n v="88389"/>
    <n v="2638"/>
    <x v="1"/>
    <n v="1"/>
    <x v="1"/>
    <n v="1"/>
    <n v="21"/>
    <x v="1"/>
    <x v="2"/>
    <n v="1533"/>
    <n v="1"/>
    <n v="2"/>
    <n v="2"/>
  </r>
  <r>
    <x v="23"/>
    <x v="23"/>
    <n v="57157"/>
    <n v="1704"/>
    <x v="1"/>
    <n v="1"/>
    <x v="1"/>
    <n v="1"/>
    <n v="22"/>
    <x v="2"/>
    <x v="2"/>
    <n v="649"/>
    <n v="0"/>
    <n v="1"/>
    <n v="1"/>
  </r>
  <r>
    <x v="24"/>
    <x v="24"/>
    <n v="62864"/>
    <n v="1872"/>
    <x v="1"/>
    <n v="1"/>
    <x v="1"/>
    <n v="1"/>
    <n v="23"/>
    <x v="3"/>
    <x v="2"/>
    <n v="1114"/>
    <n v="1"/>
    <n v="2"/>
    <n v="2"/>
  </r>
  <r>
    <x v="25"/>
    <x v="25"/>
    <n v="114824"/>
    <n v="3423"/>
    <x v="1"/>
    <n v="1"/>
    <x v="1"/>
    <n v="1"/>
    <n v="24"/>
    <x v="4"/>
    <x v="2"/>
    <n v="2135"/>
    <n v="1"/>
    <n v="2"/>
    <n v="2"/>
  </r>
  <r>
    <x v="26"/>
    <x v="26"/>
    <n v="152636"/>
    <n v="4544"/>
    <x v="1"/>
    <n v="1"/>
    <x v="1"/>
    <n v="1"/>
    <n v="25"/>
    <x v="5"/>
    <x v="2"/>
    <n v="2637"/>
    <n v="1"/>
    <n v="2"/>
    <n v="2"/>
  </r>
  <r>
    <x v="27"/>
    <x v="27"/>
    <n v="81583"/>
    <n v="2426"/>
    <x v="1"/>
    <n v="1"/>
    <x v="1"/>
    <n v="1"/>
    <n v="26"/>
    <x v="6"/>
    <x v="2"/>
    <n v="1302"/>
    <n v="1"/>
    <n v="2"/>
    <n v="2"/>
  </r>
  <r>
    <x v="28"/>
    <x v="28"/>
    <n v="71377"/>
    <n v="2117"/>
    <x v="1"/>
    <n v="1"/>
    <x v="1"/>
    <n v="1"/>
    <n v="27"/>
    <x v="0"/>
    <x v="2"/>
    <n v="976"/>
    <n v="0"/>
    <n v="1"/>
    <n v="1"/>
  </r>
  <r>
    <x v="29"/>
    <x v="29"/>
    <n v="49769"/>
    <n v="1476"/>
    <x v="1"/>
    <n v="1"/>
    <x v="1"/>
    <n v="1"/>
    <n v="28"/>
    <x v="1"/>
    <x v="2"/>
    <n v="647"/>
    <n v="0"/>
    <n v="1"/>
    <n v="1"/>
  </r>
  <r>
    <x v="30"/>
    <x v="30"/>
    <n v="66529"/>
    <n v="1974"/>
    <x v="1"/>
    <n v="1"/>
    <x v="1"/>
    <n v="1"/>
    <n v="29"/>
    <x v="2"/>
    <x v="2"/>
    <n v="929"/>
    <n v="0"/>
    <n v="1"/>
    <n v="1"/>
  </r>
  <r>
    <x v="31"/>
    <x v="31"/>
    <n v="63758"/>
    <n v="1892"/>
    <x v="1"/>
    <n v="1"/>
    <x v="1"/>
    <n v="1"/>
    <n v="30"/>
    <x v="3"/>
    <x v="2"/>
    <n v="883"/>
    <n v="0"/>
    <n v="1"/>
    <n v="1"/>
  </r>
  <r>
    <x v="32"/>
    <x v="32"/>
    <n v="135610"/>
    <n v="4030"/>
    <x v="1"/>
    <n v="1"/>
    <x v="1"/>
    <n v="1"/>
    <n v="31"/>
    <x v="4"/>
    <x v="2"/>
    <n v="2084"/>
    <n v="1"/>
    <n v="2"/>
    <n v="2"/>
  </r>
  <r>
    <x v="33"/>
    <x v="33"/>
    <n v="178436"/>
    <n v="5304"/>
    <x v="1"/>
    <n v="2"/>
    <x v="2"/>
    <n v="1"/>
    <n v="1"/>
    <x v="5"/>
    <x v="2"/>
    <n v="2773"/>
    <n v="1"/>
    <n v="2"/>
    <n v="2"/>
  </r>
  <r>
    <x v="34"/>
    <x v="34"/>
    <n v="111467"/>
    <n v="3320"/>
    <x v="1"/>
    <n v="2"/>
    <x v="2"/>
    <n v="1"/>
    <n v="2"/>
    <x v="6"/>
    <x v="2"/>
    <n v="1967"/>
    <n v="1"/>
    <n v="2"/>
    <n v="2"/>
  </r>
  <r>
    <x v="35"/>
    <x v="35"/>
    <n v="140506"/>
    <n v="4191"/>
    <x v="1"/>
    <n v="2"/>
    <x v="2"/>
    <n v="1"/>
    <n v="3"/>
    <x v="0"/>
    <x v="2"/>
    <n v="2687"/>
    <n v="1"/>
    <n v="2"/>
    <n v="2"/>
  </r>
  <r>
    <x v="36"/>
    <x v="36"/>
    <n v="128496"/>
    <n v="3809"/>
    <x v="1"/>
    <n v="2"/>
    <x v="2"/>
    <n v="1"/>
    <n v="4"/>
    <x v="1"/>
    <x v="2"/>
    <n v="1630"/>
    <n v="0"/>
    <n v="1"/>
    <n v="1"/>
  </r>
  <r>
    <x v="37"/>
    <x v="37"/>
    <n v="195079"/>
    <n v="5764"/>
    <x v="1"/>
    <n v="2"/>
    <x v="2"/>
    <n v="1"/>
    <n v="5"/>
    <x v="2"/>
    <x v="1"/>
    <n v="-7923"/>
    <n v="-1"/>
    <n v="-4"/>
    <n v="-4"/>
  </r>
  <r>
    <x v="38"/>
    <x v="38"/>
    <n v="101978"/>
    <n v="3028"/>
    <x v="1"/>
    <n v="2"/>
    <x v="2"/>
    <n v="1"/>
    <n v="6"/>
    <x v="3"/>
    <x v="2"/>
    <n v="337"/>
    <n v="0"/>
    <n v="0"/>
    <n v="0"/>
  </r>
  <r>
    <x v="39"/>
    <x v="39"/>
    <n v="313529"/>
    <n v="9284"/>
    <x v="1"/>
    <n v="2"/>
    <x v="2"/>
    <n v="1"/>
    <n v="7"/>
    <x v="4"/>
    <x v="1"/>
    <n v="-11975"/>
    <n v="-1"/>
    <n v="-4"/>
    <n v="-4"/>
  </r>
  <r>
    <x v="40"/>
    <x v="40"/>
    <n v="329755"/>
    <n v="9737"/>
    <x v="1"/>
    <n v="2"/>
    <x v="2"/>
    <n v="1"/>
    <n v="8"/>
    <x v="5"/>
    <x v="1"/>
    <n v="-13682"/>
    <n v="-1"/>
    <n v="-4"/>
    <n v="-4"/>
  </r>
  <r>
    <x v="41"/>
    <x v="41"/>
    <n v="141531"/>
    <n v="4163"/>
    <x v="1"/>
    <n v="2"/>
    <x v="2"/>
    <n v="1"/>
    <n v="9"/>
    <x v="6"/>
    <x v="1"/>
    <n v="-6353"/>
    <n v="-2"/>
    <n v="-5"/>
    <n v="-5"/>
  </r>
  <r>
    <x v="42"/>
    <x v="42"/>
    <n v="154829"/>
    <n v="4552"/>
    <x v="1"/>
    <n v="2"/>
    <x v="2"/>
    <n v="1"/>
    <n v="10"/>
    <x v="0"/>
    <x v="1"/>
    <n v="-7101"/>
    <n v="-2"/>
    <n v="-5"/>
    <n v="-5"/>
  </r>
  <r>
    <x v="43"/>
    <x v="43"/>
    <n v="139824"/>
    <n v="4172"/>
    <x v="1"/>
    <n v="2"/>
    <x v="2"/>
    <n v="1"/>
    <n v="11"/>
    <x v="1"/>
    <x v="1"/>
    <n v="-4325"/>
    <n v="-1"/>
    <n v="-3"/>
    <n v="-3"/>
  </r>
  <r>
    <x v="44"/>
    <x v="44"/>
    <n v="166893"/>
    <n v="5037"/>
    <x v="1"/>
    <n v="2"/>
    <x v="2"/>
    <n v="1"/>
    <n v="12"/>
    <x v="2"/>
    <x v="1"/>
    <n v="-3461"/>
    <n v="-1"/>
    <n v="-2"/>
    <n v="-2"/>
  </r>
  <r>
    <x v="45"/>
    <x v="45"/>
    <n v="141027"/>
    <n v="4259"/>
    <x v="1"/>
    <n v="2"/>
    <x v="2"/>
    <n v="1"/>
    <n v="13"/>
    <x v="3"/>
    <x v="1"/>
    <n v="-2736"/>
    <n v="-1"/>
    <n v="-2"/>
    <n v="-2"/>
  </r>
  <r>
    <x v="46"/>
    <x v="46"/>
    <n v="343520"/>
    <n v="10381"/>
    <x v="1"/>
    <n v="2"/>
    <x v="2"/>
    <n v="1"/>
    <n v="14"/>
    <x v="4"/>
    <x v="1"/>
    <n v="-6619"/>
    <n v="-1"/>
    <n v="-2"/>
    <n v="-2"/>
  </r>
  <r>
    <x v="47"/>
    <x v="47"/>
    <n v="373974"/>
    <n v="11332"/>
    <x v="1"/>
    <n v="2"/>
    <x v="2"/>
    <n v="1"/>
    <n v="15"/>
    <x v="5"/>
    <x v="1"/>
    <n v="-6244"/>
    <n v="-1"/>
    <n v="-2"/>
    <n v="-2"/>
  </r>
  <r>
    <x v="48"/>
    <x v="48"/>
    <n v="136797"/>
    <n v="4127"/>
    <x v="1"/>
    <n v="2"/>
    <x v="2"/>
    <n v="1"/>
    <n v="16"/>
    <x v="6"/>
    <x v="1"/>
    <n v="-2883"/>
    <n v="-1"/>
    <n v="-2"/>
    <n v="-2"/>
  </r>
  <r>
    <x v="49"/>
    <x v="49"/>
    <n v="152887"/>
    <n v="4649"/>
    <x v="1"/>
    <n v="2"/>
    <x v="2"/>
    <n v="1"/>
    <n v="17"/>
    <x v="0"/>
    <x v="1"/>
    <n v="-2087"/>
    <n v="0"/>
    <n v="-1"/>
    <n v="-1"/>
  </r>
  <r>
    <x v="50"/>
    <x v="50"/>
    <n v="53463"/>
    <n v="1627"/>
    <x v="1"/>
    <n v="2"/>
    <x v="2"/>
    <n v="1"/>
    <n v="18"/>
    <x v="1"/>
    <x v="2"/>
    <n v="2129"/>
    <n v="1"/>
    <n v="4"/>
    <n v="4"/>
  </r>
  <r>
    <x v="51"/>
    <x v="51"/>
    <n v="107736"/>
    <n v="3281"/>
    <x v="1"/>
    <n v="2"/>
    <x v="2"/>
    <n v="1"/>
    <n v="19"/>
    <x v="2"/>
    <x v="1"/>
    <n v="-1309"/>
    <n v="0"/>
    <n v="-1"/>
    <n v="-1"/>
  </r>
  <r>
    <x v="52"/>
    <x v="52"/>
    <n v="75934"/>
    <n v="2310"/>
    <x v="1"/>
    <n v="2"/>
    <x v="2"/>
    <n v="1"/>
    <n v="20"/>
    <x v="3"/>
    <x v="2"/>
    <n v="3006"/>
    <n v="1"/>
    <n v="4"/>
    <n v="4"/>
  </r>
  <r>
    <x v="53"/>
    <x v="53"/>
    <n v="322090"/>
    <n v="9802"/>
    <x v="1"/>
    <n v="2"/>
    <x v="2"/>
    <n v="1"/>
    <n v="21"/>
    <x v="4"/>
    <x v="1"/>
    <n v="-4173"/>
    <n v="0"/>
    <n v="-1"/>
    <n v="-1"/>
  </r>
  <r>
    <x v="54"/>
    <x v="54"/>
    <n v="320117"/>
    <n v="9772"/>
    <x v="1"/>
    <n v="2"/>
    <x v="2"/>
    <n v="1"/>
    <n v="22"/>
    <x v="5"/>
    <x v="1"/>
    <n v="-10899"/>
    <n v="-1"/>
    <n v="-4"/>
    <n v="-4"/>
  </r>
  <r>
    <x v="55"/>
    <x v="55"/>
    <n v="140753"/>
    <n v="4270"/>
    <x v="1"/>
    <n v="2"/>
    <x v="2"/>
    <n v="1"/>
    <n v="23"/>
    <x v="6"/>
    <x v="1"/>
    <n v="-2261"/>
    <n v="-1"/>
    <n v="-2"/>
    <n v="-2"/>
  </r>
  <r>
    <x v="56"/>
    <x v="56"/>
    <n v="134505"/>
    <n v="4106"/>
    <x v="1"/>
    <n v="2"/>
    <x v="2"/>
    <n v="1"/>
    <n v="24"/>
    <x v="0"/>
    <x v="1"/>
    <n v="-1359"/>
    <n v="0"/>
    <n v="-1"/>
    <n v="-1"/>
  </r>
  <r>
    <x v="57"/>
    <x v="57"/>
    <n v="227546"/>
    <n v="6937"/>
    <x v="1"/>
    <n v="2"/>
    <x v="2"/>
    <n v="1"/>
    <n v="25"/>
    <x v="1"/>
    <x v="1"/>
    <n v="-2552"/>
    <n v="0"/>
    <n v="-1"/>
    <n v="-1"/>
  </r>
  <r>
    <x v="58"/>
    <x v="58"/>
    <n v="228214"/>
    <n v="6934"/>
    <x v="1"/>
    <n v="2"/>
    <x v="2"/>
    <n v="1"/>
    <n v="26"/>
    <x v="2"/>
    <x v="1"/>
    <n v="-3163"/>
    <n v="0"/>
    <n v="-1"/>
    <n v="-1"/>
  </r>
  <r>
    <x v="59"/>
    <x v="59"/>
    <n v="365936"/>
    <n v="11082"/>
    <x v="1"/>
    <n v="2"/>
    <x v="2"/>
    <n v="1"/>
    <n v="27"/>
    <x v="3"/>
    <x v="3"/>
    <n v="-21636"/>
    <n v="-2"/>
    <n v="-6"/>
    <n v="-6"/>
  </r>
  <r>
    <x v="60"/>
    <x v="60"/>
    <n v="686657"/>
    <n v="20805"/>
    <x v="1"/>
    <n v="2"/>
    <x v="2"/>
    <n v="1"/>
    <n v="28"/>
    <x v="4"/>
    <x v="1"/>
    <n v="-24780"/>
    <n v="-1"/>
    <n v="-4"/>
    <n v="-4"/>
  </r>
  <r>
    <x v="61"/>
    <x v="61"/>
    <n v="872082"/>
    <n v="26410"/>
    <x v="1"/>
    <n v="3"/>
    <x v="3"/>
    <n v="1"/>
    <n v="1"/>
    <x v="5"/>
    <x v="1"/>
    <n v="-25403"/>
    <n v="-1"/>
    <n v="-3"/>
    <n v="-3"/>
  </r>
  <r>
    <x v="62"/>
    <x v="62"/>
    <n v="495554"/>
    <n v="15004"/>
    <x v="1"/>
    <n v="3"/>
    <x v="3"/>
    <n v="1"/>
    <n v="2"/>
    <x v="6"/>
    <x v="1"/>
    <n v="-16652"/>
    <n v="-1"/>
    <n v="-3"/>
    <n v="-3"/>
  </r>
  <r>
    <x v="63"/>
    <x v="63"/>
    <n v="557567"/>
    <n v="16884"/>
    <x v="1"/>
    <n v="3"/>
    <x v="3"/>
    <n v="1"/>
    <n v="3"/>
    <x v="0"/>
    <x v="1"/>
    <n v="-18740"/>
    <n v="-1"/>
    <n v="-3"/>
    <n v="-3"/>
  </r>
  <r>
    <x v="64"/>
    <x v="64"/>
    <n v="323325"/>
    <n v="9789"/>
    <x v="1"/>
    <n v="3"/>
    <x v="3"/>
    <n v="1"/>
    <n v="4"/>
    <x v="1"/>
    <x v="1"/>
    <n v="-12979"/>
    <n v="-1"/>
    <n v="-4"/>
    <n v="-4"/>
  </r>
  <r>
    <x v="65"/>
    <x v="65"/>
    <n v="267309"/>
    <n v="8079"/>
    <x v="1"/>
    <n v="3"/>
    <x v="3"/>
    <n v="1"/>
    <n v="5"/>
    <x v="2"/>
    <x v="1"/>
    <n v="-10918"/>
    <n v="-1"/>
    <n v="-4"/>
    <n v="-4"/>
  </r>
  <r>
    <x v="66"/>
    <x v="66"/>
    <n v="168136"/>
    <n v="5072"/>
    <x v="1"/>
    <n v="3"/>
    <x v="3"/>
    <n v="1"/>
    <n v="6"/>
    <x v="3"/>
    <x v="0"/>
    <n v="-332"/>
    <n v="0"/>
    <n v="0"/>
    <n v="0"/>
  </r>
  <r>
    <x v="67"/>
    <x v="67"/>
    <n v="483775"/>
    <n v="14551"/>
    <x v="1"/>
    <n v="3"/>
    <x v="3"/>
    <n v="1"/>
    <n v="7"/>
    <x v="4"/>
    <x v="1"/>
    <n v="-18457"/>
    <n v="-1"/>
    <n v="-4"/>
    <n v="-4"/>
  </r>
  <r>
    <x v="68"/>
    <x v="68"/>
    <n v="541499"/>
    <n v="16262"/>
    <x v="1"/>
    <n v="3"/>
    <x v="3"/>
    <n v="1"/>
    <n v="8"/>
    <x v="5"/>
    <x v="1"/>
    <n v="-21352"/>
    <n v="-1"/>
    <n v="-4"/>
    <n v="-4"/>
  </r>
  <r>
    <x v="69"/>
    <x v="69"/>
    <n v="233590"/>
    <n v="7014"/>
    <x v="1"/>
    <n v="3"/>
    <x v="3"/>
    <n v="1"/>
    <n v="9"/>
    <x v="6"/>
    <x v="1"/>
    <n v="-8891"/>
    <n v="-1"/>
    <n v="-4"/>
    <n v="-4"/>
  </r>
  <r>
    <x v="70"/>
    <x v="70"/>
    <n v="297643"/>
    <n v="8932"/>
    <x v="1"/>
    <n v="3"/>
    <x v="3"/>
    <n v="1"/>
    <n v="10"/>
    <x v="0"/>
    <x v="1"/>
    <n v="-11412"/>
    <n v="-1"/>
    <n v="-4"/>
    <n v="-4"/>
  </r>
  <r>
    <x v="71"/>
    <x v="71"/>
    <n v="191499"/>
    <n v="5737"/>
    <x v="1"/>
    <n v="3"/>
    <x v="3"/>
    <n v="1"/>
    <n v="11"/>
    <x v="1"/>
    <x v="0"/>
    <n v="-4356"/>
    <n v="-1"/>
    <n v="-2"/>
    <n v="-2"/>
  </r>
  <r>
    <x v="72"/>
    <x v="72"/>
    <n v="197153"/>
    <n v="5903"/>
    <x v="1"/>
    <n v="3"/>
    <x v="3"/>
    <n v="1"/>
    <n v="12"/>
    <x v="2"/>
    <x v="1"/>
    <n v="-5453"/>
    <n v="-1"/>
    <n v="-3"/>
    <n v="-3"/>
  </r>
  <r>
    <x v="73"/>
    <x v="73"/>
    <n v="168975"/>
    <n v="5056"/>
    <x v="1"/>
    <n v="3"/>
    <x v="3"/>
    <n v="1"/>
    <n v="13"/>
    <x v="3"/>
    <x v="0"/>
    <n v="-4311"/>
    <n v="-1"/>
    <n v="-3"/>
    <n v="-3"/>
  </r>
  <r>
    <x v="74"/>
    <x v="74"/>
    <n v="406766"/>
    <n v="12167"/>
    <x v="1"/>
    <n v="3"/>
    <x v="3"/>
    <n v="1"/>
    <n v="14"/>
    <x v="4"/>
    <x v="0"/>
    <n v="-10825"/>
    <n v="-1"/>
    <n v="-3"/>
    <n v="-3"/>
  </r>
  <r>
    <x v="75"/>
    <x v="75"/>
    <n v="534383"/>
    <n v="15971"/>
    <x v="1"/>
    <n v="3"/>
    <x v="3"/>
    <n v="1"/>
    <n v="15"/>
    <x v="5"/>
    <x v="1"/>
    <n v="-16200"/>
    <n v="-1"/>
    <n v="-3"/>
    <n v="-3"/>
  </r>
  <r>
    <x v="76"/>
    <x v="76"/>
    <n v="233191"/>
    <n v="6968"/>
    <x v="1"/>
    <n v="3"/>
    <x v="3"/>
    <n v="1"/>
    <n v="16"/>
    <x v="6"/>
    <x v="0"/>
    <n v="-6573"/>
    <n v="-1"/>
    <n v="-3"/>
    <n v="-3"/>
  </r>
  <r>
    <x v="77"/>
    <x v="77"/>
    <n v="250794"/>
    <n v="7494"/>
    <x v="1"/>
    <n v="3"/>
    <x v="3"/>
    <n v="1"/>
    <n v="17"/>
    <x v="0"/>
    <x v="0"/>
    <n v="-7086"/>
    <n v="-1"/>
    <n v="-3"/>
    <n v="-3"/>
  </r>
  <r>
    <x v="78"/>
    <x v="78"/>
    <n v="90572"/>
    <n v="2707"/>
    <x v="1"/>
    <n v="3"/>
    <x v="3"/>
    <n v="1"/>
    <n v="18"/>
    <x v="1"/>
    <x v="4"/>
    <n v="4278"/>
    <n v="2"/>
    <n v="5"/>
    <n v="5"/>
  </r>
  <r>
    <x v="79"/>
    <x v="79"/>
    <n v="88256"/>
    <n v="2637"/>
    <x v="1"/>
    <n v="3"/>
    <x v="3"/>
    <n v="1"/>
    <n v="19"/>
    <x v="2"/>
    <x v="4"/>
    <n v="4131"/>
    <n v="2"/>
    <n v="4"/>
    <n v="4"/>
  </r>
  <r>
    <x v="80"/>
    <x v="80"/>
    <n v="172344"/>
    <n v="5149"/>
    <x v="1"/>
    <n v="3"/>
    <x v="3"/>
    <n v="1"/>
    <n v="20"/>
    <x v="3"/>
    <x v="4"/>
    <n v="8051"/>
    <n v="2"/>
    <n v="4"/>
    <n v="4"/>
  </r>
  <r>
    <x v="81"/>
    <x v="81"/>
    <n v="192019"/>
    <n v="5735"/>
    <x v="1"/>
    <n v="3"/>
    <x v="3"/>
    <n v="1"/>
    <n v="21"/>
    <x v="4"/>
    <x v="4"/>
    <n v="8921"/>
    <n v="2"/>
    <n v="4"/>
    <n v="4"/>
  </r>
  <r>
    <x v="82"/>
    <x v="82"/>
    <n v="165201"/>
    <n v="4936"/>
    <x v="1"/>
    <n v="3"/>
    <x v="3"/>
    <n v="1"/>
    <n v="22"/>
    <x v="5"/>
    <x v="4"/>
    <n v="7753"/>
    <n v="2"/>
    <n v="4"/>
    <n v="4"/>
  </r>
  <r>
    <x v="83"/>
    <x v="83"/>
    <n v="67062"/>
    <n v="2003"/>
    <x v="1"/>
    <n v="3"/>
    <x v="3"/>
    <n v="1"/>
    <n v="23"/>
    <x v="6"/>
    <x v="4"/>
    <n v="3133"/>
    <n v="2"/>
    <n v="4"/>
    <n v="4"/>
  </r>
  <r>
    <x v="84"/>
    <x v="84"/>
    <n v="77704"/>
    <n v="2323"/>
    <x v="1"/>
    <n v="3"/>
    <x v="3"/>
    <n v="1"/>
    <n v="24"/>
    <x v="0"/>
    <x v="4"/>
    <n v="3675"/>
    <n v="2"/>
    <n v="5"/>
    <n v="5"/>
  </r>
  <r>
    <x v="85"/>
    <x v="85"/>
    <n v="127394"/>
    <n v="3822"/>
    <x v="1"/>
    <n v="3"/>
    <x v="3"/>
    <n v="1"/>
    <n v="25"/>
    <x v="1"/>
    <x v="2"/>
    <n v="2833"/>
    <n v="1"/>
    <n v="2"/>
    <n v="2"/>
  </r>
  <r>
    <x v="86"/>
    <x v="86"/>
    <n v="122275"/>
    <n v="3666"/>
    <x v="1"/>
    <n v="3"/>
    <x v="3"/>
    <n v="1"/>
    <n v="26"/>
    <x v="2"/>
    <x v="2"/>
    <n v="3035"/>
    <n v="1"/>
    <n v="2"/>
    <n v="2"/>
  </r>
  <r>
    <x v="87"/>
    <x v="87"/>
    <n v="118187"/>
    <n v="3543"/>
    <x v="1"/>
    <n v="3"/>
    <x v="3"/>
    <n v="1"/>
    <n v="27"/>
    <x v="3"/>
    <x v="2"/>
    <n v="1266"/>
    <n v="0"/>
    <n v="1"/>
    <n v="1"/>
  </r>
  <r>
    <x v="88"/>
    <x v="88"/>
    <n v="271551"/>
    <n v="8130"/>
    <x v="1"/>
    <n v="3"/>
    <x v="3"/>
    <n v="1"/>
    <n v="28"/>
    <x v="4"/>
    <x v="2"/>
    <n v="4624"/>
    <n v="1"/>
    <n v="2"/>
    <n v="2"/>
  </r>
  <r>
    <x v="89"/>
    <x v="89"/>
    <n v="352251"/>
    <n v="10518"/>
    <x v="1"/>
    <n v="3"/>
    <x v="3"/>
    <n v="1"/>
    <n v="29"/>
    <x v="5"/>
    <x v="2"/>
    <n v="5118"/>
    <n v="0"/>
    <n v="1"/>
    <n v="1"/>
  </r>
  <r>
    <x v="90"/>
    <x v="90"/>
    <n v="160525"/>
    <n v="4791"/>
    <x v="1"/>
    <n v="3"/>
    <x v="3"/>
    <n v="1"/>
    <n v="30"/>
    <x v="6"/>
    <x v="2"/>
    <n v="3340"/>
    <n v="1"/>
    <n v="2"/>
    <n v="2"/>
  </r>
  <r>
    <x v="91"/>
    <x v="91"/>
    <n v="187073"/>
    <n v="5583"/>
    <x v="1"/>
    <n v="3"/>
    <x v="3"/>
    <n v="1"/>
    <n v="31"/>
    <x v="0"/>
    <x v="2"/>
    <n v="3647"/>
    <n v="1"/>
    <n v="2"/>
    <n v="2"/>
  </r>
  <r>
    <x v="92"/>
    <x v="92"/>
    <n v="239701"/>
    <n v="7155"/>
    <x v="1"/>
    <n v="4"/>
    <x v="4"/>
    <n v="2"/>
    <n v="1"/>
    <x v="1"/>
    <x v="2"/>
    <n v="4835"/>
    <n v="1"/>
    <n v="2"/>
    <n v="2"/>
  </r>
  <r>
    <x v="93"/>
    <x v="93"/>
    <n v="153366"/>
    <n v="4575"/>
    <x v="1"/>
    <n v="4"/>
    <x v="4"/>
    <n v="2"/>
    <n v="2"/>
    <x v="2"/>
    <x v="2"/>
    <n v="2254"/>
    <n v="0"/>
    <n v="1"/>
    <n v="1"/>
  </r>
  <r>
    <x v="94"/>
    <x v="94"/>
    <n v="134523"/>
    <n v="3997"/>
    <x v="1"/>
    <n v="4"/>
    <x v="4"/>
    <n v="2"/>
    <n v="3"/>
    <x v="3"/>
    <x v="2"/>
    <n v="1479"/>
    <n v="0"/>
    <n v="1"/>
    <n v="1"/>
  </r>
  <r>
    <x v="95"/>
    <x v="95"/>
    <n v="187742"/>
    <n v="5558"/>
    <x v="1"/>
    <n v="4"/>
    <x v="4"/>
    <n v="2"/>
    <n v="4"/>
    <x v="4"/>
    <x v="2"/>
    <n v="2818"/>
    <n v="1"/>
    <n v="1"/>
    <n v="1"/>
  </r>
  <r>
    <x v="96"/>
    <x v="96"/>
    <n v="213541"/>
    <n v="6320"/>
    <x v="1"/>
    <n v="4"/>
    <x v="4"/>
    <n v="2"/>
    <n v="5"/>
    <x v="5"/>
    <x v="2"/>
    <n v="3570"/>
    <n v="1"/>
    <n v="2"/>
    <n v="2"/>
  </r>
  <r>
    <x v="97"/>
    <x v="97"/>
    <n v="116856"/>
    <n v="3447"/>
    <x v="1"/>
    <n v="4"/>
    <x v="4"/>
    <n v="2"/>
    <n v="6"/>
    <x v="6"/>
    <x v="4"/>
    <n v="2334"/>
    <n v="1"/>
    <n v="2"/>
    <n v="2"/>
  </r>
  <r>
    <x v="98"/>
    <x v="98"/>
    <n v="130784"/>
    <n v="3854"/>
    <x v="1"/>
    <n v="4"/>
    <x v="4"/>
    <n v="2"/>
    <n v="7"/>
    <x v="0"/>
    <x v="2"/>
    <n v="1126"/>
    <n v="0"/>
    <n v="1"/>
    <n v="1"/>
  </r>
  <r>
    <x v="99"/>
    <x v="99"/>
    <n v="115306"/>
    <n v="3394"/>
    <x v="1"/>
    <n v="4"/>
    <x v="4"/>
    <n v="2"/>
    <n v="8"/>
    <x v="1"/>
    <x v="4"/>
    <n v="3616"/>
    <n v="1"/>
    <n v="3"/>
    <n v="3"/>
  </r>
  <r>
    <x v="100"/>
    <x v="100"/>
    <n v="121265"/>
    <n v="3563"/>
    <x v="1"/>
    <n v="4"/>
    <x v="4"/>
    <n v="2"/>
    <n v="9"/>
    <x v="2"/>
    <x v="4"/>
    <n v="3564"/>
    <n v="1"/>
    <n v="3"/>
    <n v="3"/>
  </r>
  <r>
    <x v="101"/>
    <x v="101"/>
    <n v="183279"/>
    <n v="5380"/>
    <x v="1"/>
    <n v="4"/>
    <x v="4"/>
    <n v="2"/>
    <n v="10"/>
    <x v="3"/>
    <x v="0"/>
    <n v="-3952"/>
    <n v="-1"/>
    <n v="-2"/>
    <n v="-2"/>
  </r>
  <r>
    <x v="102"/>
    <x v="102"/>
    <n v="326323"/>
    <n v="9573"/>
    <x v="1"/>
    <n v="4"/>
    <x v="4"/>
    <n v="2"/>
    <n v="11"/>
    <x v="4"/>
    <x v="0"/>
    <n v="-7373"/>
    <n v="-1"/>
    <n v="-2"/>
    <n v="-2"/>
  </r>
  <r>
    <x v="103"/>
    <x v="103"/>
    <n v="383727"/>
    <n v="11250"/>
    <x v="1"/>
    <n v="4"/>
    <x v="4"/>
    <n v="2"/>
    <n v="12"/>
    <x v="5"/>
    <x v="0"/>
    <n v="-8696"/>
    <n v="-1"/>
    <n v="-2"/>
    <n v="-2"/>
  </r>
  <r>
    <x v="104"/>
    <x v="104"/>
    <n v="170062"/>
    <n v="4990"/>
    <x v="1"/>
    <n v="4"/>
    <x v="4"/>
    <n v="2"/>
    <n v="13"/>
    <x v="6"/>
    <x v="0"/>
    <n v="-3668"/>
    <n v="-1"/>
    <n v="-2"/>
    <n v="-2"/>
  </r>
  <r>
    <x v="105"/>
    <x v="105"/>
    <n v="198212"/>
    <n v="5810"/>
    <x v="1"/>
    <n v="4"/>
    <x v="4"/>
    <n v="2"/>
    <n v="14"/>
    <x v="0"/>
    <x v="0"/>
    <n v="-4560"/>
    <n v="-1"/>
    <n v="-2"/>
    <n v="-2"/>
  </r>
  <r>
    <x v="106"/>
    <x v="106"/>
    <n v="255957"/>
    <n v="7497"/>
    <x v="1"/>
    <n v="4"/>
    <x v="4"/>
    <n v="2"/>
    <n v="15"/>
    <x v="1"/>
    <x v="0"/>
    <n v="-6151"/>
    <n v="-1"/>
    <n v="-2"/>
    <n v="-2"/>
  </r>
  <r>
    <x v="107"/>
    <x v="107"/>
    <n v="301522"/>
    <n v="8821"/>
    <x v="1"/>
    <n v="4"/>
    <x v="4"/>
    <n v="2"/>
    <n v="16"/>
    <x v="2"/>
    <x v="0"/>
    <n v="-7499"/>
    <n v="-1"/>
    <n v="-3"/>
    <n v="-3"/>
  </r>
  <r>
    <x v="108"/>
    <x v="108"/>
    <n v="627928"/>
    <n v="18366"/>
    <x v="1"/>
    <n v="4"/>
    <x v="4"/>
    <n v="2"/>
    <n v="17"/>
    <x v="3"/>
    <x v="0"/>
    <n v="-15692"/>
    <n v="-1"/>
    <n v="-3"/>
    <n v="-3"/>
  </r>
  <r>
    <x v="109"/>
    <x v="109"/>
    <n v="476693"/>
    <n v="13940"/>
    <x v="1"/>
    <n v="4"/>
    <x v="4"/>
    <n v="2"/>
    <n v="18"/>
    <x v="4"/>
    <x v="0"/>
    <n v="-11877"/>
    <n v="-1"/>
    <n v="-3"/>
    <n v="-3"/>
  </r>
  <r>
    <x v="110"/>
    <x v="110"/>
    <n v="369766"/>
    <n v="10814"/>
    <x v="1"/>
    <n v="4"/>
    <x v="4"/>
    <n v="2"/>
    <n v="19"/>
    <x v="5"/>
    <x v="0"/>
    <n v="-9285"/>
    <n v="-1"/>
    <n v="-3"/>
    <n v="-3"/>
  </r>
  <r>
    <x v="111"/>
    <x v="111"/>
    <n v="117191"/>
    <n v="3429"/>
    <x v="1"/>
    <n v="4"/>
    <x v="4"/>
    <n v="2"/>
    <n v="20"/>
    <x v="6"/>
    <x v="0"/>
    <n v="-2911"/>
    <n v="-1"/>
    <n v="-3"/>
    <n v="-3"/>
  </r>
  <r>
    <x v="112"/>
    <x v="112"/>
    <n v="165415"/>
    <n v="4834"/>
    <x v="1"/>
    <n v="4"/>
    <x v="4"/>
    <n v="2"/>
    <n v="21"/>
    <x v="0"/>
    <x v="0"/>
    <n v="-4244"/>
    <n v="-1"/>
    <n v="-3"/>
    <n v="-3"/>
  </r>
  <r>
    <x v="113"/>
    <x v="113"/>
    <n v="187345"/>
    <n v="5475"/>
    <x v="1"/>
    <n v="4"/>
    <x v="4"/>
    <n v="2"/>
    <n v="22"/>
    <x v="1"/>
    <x v="0"/>
    <n v="-4862"/>
    <n v="-1"/>
    <n v="-3"/>
    <n v="-3"/>
  </r>
  <r>
    <x v="114"/>
    <x v="114"/>
    <n v="106850"/>
    <n v="3121"/>
    <x v="1"/>
    <n v="4"/>
    <x v="4"/>
    <n v="2"/>
    <n v="23"/>
    <x v="2"/>
    <x v="4"/>
    <n v="2509"/>
    <n v="1"/>
    <n v="2"/>
    <n v="2"/>
  </r>
  <r>
    <x v="115"/>
    <x v="115"/>
    <n v="96197"/>
    <n v="2809"/>
    <x v="1"/>
    <n v="4"/>
    <x v="4"/>
    <n v="2"/>
    <n v="24"/>
    <x v="3"/>
    <x v="4"/>
    <n v="2233"/>
    <n v="1"/>
    <n v="2"/>
    <n v="2"/>
  </r>
  <r>
    <x v="116"/>
    <x v="116"/>
    <n v="292327"/>
    <n v="8537"/>
    <x v="1"/>
    <n v="4"/>
    <x v="4"/>
    <n v="2"/>
    <n v="25"/>
    <x v="4"/>
    <x v="4"/>
    <n v="3414"/>
    <n v="0"/>
    <n v="1"/>
    <n v="1"/>
  </r>
  <r>
    <x v="117"/>
    <x v="117"/>
    <n v="281160"/>
    <n v="8209"/>
    <x v="1"/>
    <n v="4"/>
    <x v="4"/>
    <n v="2"/>
    <n v="26"/>
    <x v="5"/>
    <x v="4"/>
    <n v="3894"/>
    <n v="0"/>
    <n v="1"/>
    <n v="1"/>
  </r>
  <r>
    <x v="118"/>
    <x v="118"/>
    <n v="123042"/>
    <n v="3592"/>
    <x v="1"/>
    <n v="4"/>
    <x v="4"/>
    <n v="2"/>
    <n v="27"/>
    <x v="6"/>
    <x v="4"/>
    <n v="1923"/>
    <n v="1"/>
    <n v="2"/>
    <n v="2"/>
  </r>
  <r>
    <x v="119"/>
    <x v="119"/>
    <n v="122516"/>
    <n v="3576"/>
    <x v="1"/>
    <n v="4"/>
    <x v="4"/>
    <n v="2"/>
    <n v="28"/>
    <x v="0"/>
    <x v="4"/>
    <n v="1660"/>
    <n v="0"/>
    <n v="1"/>
    <n v="1"/>
  </r>
  <r>
    <x v="120"/>
    <x v="120"/>
    <n v="130405"/>
    <n v="3807"/>
    <x v="1"/>
    <n v="4"/>
    <x v="4"/>
    <n v="2"/>
    <n v="29"/>
    <x v="1"/>
    <x v="4"/>
    <n v="1437"/>
    <n v="0"/>
    <n v="1"/>
    <n v="1"/>
  </r>
  <r>
    <x v="121"/>
    <x v="121"/>
    <n v="150644"/>
    <n v="4398"/>
    <x v="1"/>
    <n v="4"/>
    <x v="4"/>
    <n v="2"/>
    <n v="30"/>
    <x v="2"/>
    <x v="4"/>
    <n v="4206"/>
    <n v="1"/>
    <n v="3"/>
    <n v="3"/>
  </r>
  <r>
    <x v="122"/>
    <x v="122"/>
    <n v="175657"/>
    <n v="5124"/>
    <x v="1"/>
    <n v="5"/>
    <x v="5"/>
    <n v="2"/>
    <n v="1"/>
    <x v="3"/>
    <x v="4"/>
    <n v="4638"/>
    <n v="1"/>
    <n v="3"/>
    <n v="3"/>
  </r>
  <r>
    <x v="123"/>
    <x v="123"/>
    <n v="157301"/>
    <n v="4581"/>
    <x v="1"/>
    <n v="5"/>
    <x v="5"/>
    <n v="2"/>
    <n v="2"/>
    <x v="4"/>
    <x v="5"/>
    <n v="6548"/>
    <n v="1"/>
    <n v="4"/>
    <n v="4"/>
  </r>
  <r>
    <x v="124"/>
    <x v="124"/>
    <n v="127602"/>
    <n v="3697"/>
    <x v="1"/>
    <n v="5"/>
    <x v="5"/>
    <n v="2"/>
    <n v="3"/>
    <x v="5"/>
    <x v="5"/>
    <n v="3835"/>
    <n v="1"/>
    <n v="3"/>
    <n v="3"/>
  </r>
  <r>
    <x v="125"/>
    <x v="125"/>
    <n v="91602"/>
    <n v="2642"/>
    <x v="1"/>
    <n v="5"/>
    <x v="5"/>
    <n v="2"/>
    <n v="4"/>
    <x v="6"/>
    <x v="4"/>
    <n v="1481"/>
    <n v="1"/>
    <n v="2"/>
    <n v="2"/>
  </r>
  <r>
    <x v="126"/>
    <x v="126"/>
    <n v="109460"/>
    <n v="3154"/>
    <x v="1"/>
    <n v="5"/>
    <x v="5"/>
    <n v="2"/>
    <n v="5"/>
    <x v="0"/>
    <x v="4"/>
    <n v="1427"/>
    <n v="0"/>
    <n v="1"/>
    <n v="1"/>
  </r>
  <r>
    <x v="127"/>
    <x v="127"/>
    <n v="115693"/>
    <n v="3324"/>
    <x v="1"/>
    <n v="5"/>
    <x v="5"/>
    <n v="2"/>
    <n v="6"/>
    <x v="1"/>
    <x v="5"/>
    <n v="3692"/>
    <n v="1"/>
    <n v="3"/>
    <n v="3"/>
  </r>
  <r>
    <x v="128"/>
    <x v="128"/>
    <n v="93157"/>
    <n v="2677"/>
    <x v="1"/>
    <n v="5"/>
    <x v="5"/>
    <n v="2"/>
    <n v="7"/>
    <x v="2"/>
    <x v="2"/>
    <n v="-1438"/>
    <n v="-1"/>
    <n v="-2"/>
    <n v="-2"/>
  </r>
  <r>
    <x v="129"/>
    <x v="129"/>
    <n v="93696"/>
    <n v="2683"/>
    <x v="1"/>
    <n v="5"/>
    <x v="5"/>
    <n v="2"/>
    <n v="8"/>
    <x v="3"/>
    <x v="5"/>
    <n v="2639"/>
    <n v="1"/>
    <n v="3"/>
    <n v="3"/>
  </r>
  <r>
    <x v="130"/>
    <x v="130"/>
    <n v="325837"/>
    <n v="9328"/>
    <x v="1"/>
    <n v="5"/>
    <x v="5"/>
    <n v="2"/>
    <n v="9"/>
    <x v="4"/>
    <x v="0"/>
    <n v="-22611"/>
    <n v="-2"/>
    <n v="-7"/>
    <n v="-7"/>
  </r>
  <r>
    <x v="131"/>
    <x v="131"/>
    <n v="465254"/>
    <n v="13306"/>
    <x v="1"/>
    <n v="5"/>
    <x v="5"/>
    <n v="2"/>
    <n v="10"/>
    <x v="5"/>
    <x v="1"/>
    <n v="-33558"/>
    <n v="-3"/>
    <n v="-8"/>
    <n v="-8"/>
  </r>
  <r>
    <x v="132"/>
    <x v="132"/>
    <n v="215908"/>
    <n v="6173"/>
    <x v="1"/>
    <n v="5"/>
    <x v="5"/>
    <n v="2"/>
    <n v="11"/>
    <x v="6"/>
    <x v="1"/>
    <n v="-15501"/>
    <n v="-3"/>
    <n v="-8"/>
    <n v="-8"/>
  </r>
  <r>
    <x v="133"/>
    <x v="133"/>
    <n v="197835"/>
    <n v="5653"/>
    <x v="1"/>
    <n v="5"/>
    <x v="5"/>
    <n v="2"/>
    <n v="12"/>
    <x v="0"/>
    <x v="1"/>
    <n v="-14422"/>
    <n v="-3"/>
    <n v="-8"/>
    <n v="-8"/>
  </r>
  <r>
    <x v="134"/>
    <x v="134"/>
    <n v="157693"/>
    <n v="4503"/>
    <x v="1"/>
    <n v="5"/>
    <x v="5"/>
    <n v="2"/>
    <n v="13"/>
    <x v="1"/>
    <x v="1"/>
    <n v="-11527"/>
    <n v="-3"/>
    <n v="-8"/>
    <n v="-8"/>
  </r>
  <r>
    <x v="135"/>
    <x v="135"/>
    <n v="218099"/>
    <n v="6253"/>
    <x v="1"/>
    <n v="5"/>
    <x v="5"/>
    <n v="2"/>
    <n v="14"/>
    <x v="2"/>
    <x v="1"/>
    <n v="-16978"/>
    <n v="-3"/>
    <n v="-8"/>
    <n v="-8"/>
  </r>
  <r>
    <x v="136"/>
    <x v="136"/>
    <n v="289865"/>
    <n v="8408"/>
    <x v="1"/>
    <n v="5"/>
    <x v="5"/>
    <n v="2"/>
    <n v="15"/>
    <x v="3"/>
    <x v="1"/>
    <n v="-19741"/>
    <n v="-2"/>
    <n v="-7"/>
    <n v="-7"/>
  </r>
  <r>
    <x v="137"/>
    <x v="137"/>
    <n v="441791"/>
    <n v="12949"/>
    <x v="1"/>
    <n v="5"/>
    <x v="5"/>
    <n v="2"/>
    <n v="16"/>
    <x v="4"/>
    <x v="1"/>
    <n v="-26475"/>
    <n v="-2"/>
    <n v="-6"/>
    <n v="-6"/>
  </r>
  <r>
    <x v="138"/>
    <x v="138"/>
    <n v="526707"/>
    <n v="15508"/>
    <x v="1"/>
    <n v="5"/>
    <x v="5"/>
    <n v="2"/>
    <n v="17"/>
    <x v="5"/>
    <x v="1"/>
    <n v="-27990"/>
    <n v="-2"/>
    <n v="-6"/>
    <n v="-6"/>
  </r>
  <r>
    <x v="139"/>
    <x v="139"/>
    <n v="174377"/>
    <n v="5141"/>
    <x v="1"/>
    <n v="5"/>
    <x v="5"/>
    <n v="2"/>
    <n v="18"/>
    <x v="6"/>
    <x v="1"/>
    <n v="-7943"/>
    <n v="-2"/>
    <n v="-5"/>
    <n v="-5"/>
  </r>
  <r>
    <x v="140"/>
    <x v="140"/>
    <n v="175540"/>
    <n v="5194"/>
    <x v="1"/>
    <n v="5"/>
    <x v="5"/>
    <n v="2"/>
    <n v="19"/>
    <x v="0"/>
    <x v="1"/>
    <n v="-7019"/>
    <n v="-1"/>
    <n v="-4"/>
    <n v="-4"/>
  </r>
  <r>
    <x v="141"/>
    <x v="141"/>
    <n v="187748"/>
    <n v="5550"/>
    <x v="1"/>
    <n v="5"/>
    <x v="5"/>
    <n v="2"/>
    <n v="20"/>
    <x v="1"/>
    <x v="1"/>
    <n v="-9625"/>
    <n v="-2"/>
    <n v="-5"/>
    <n v="-5"/>
  </r>
  <r>
    <x v="142"/>
    <x v="142"/>
    <n v="204461"/>
    <n v="6070"/>
    <x v="1"/>
    <n v="5"/>
    <x v="5"/>
    <n v="2"/>
    <n v="21"/>
    <x v="2"/>
    <x v="1"/>
    <n v="-9582"/>
    <n v="-2"/>
    <n v="-5"/>
    <n v="-5"/>
  </r>
  <r>
    <x v="143"/>
    <x v="143"/>
    <n v="115011"/>
    <n v="3421"/>
    <x v="1"/>
    <n v="5"/>
    <x v="5"/>
    <n v="2"/>
    <n v="22"/>
    <x v="3"/>
    <x v="2"/>
    <n v="464"/>
    <n v="0"/>
    <n v="0"/>
    <n v="0"/>
  </r>
  <r>
    <x v="144"/>
    <x v="144"/>
    <n v="449274"/>
    <n v="13384"/>
    <x v="1"/>
    <n v="5"/>
    <x v="5"/>
    <n v="2"/>
    <n v="23"/>
    <x v="4"/>
    <x v="1"/>
    <n v="-18753"/>
    <n v="-1"/>
    <n v="-4"/>
    <n v="-4"/>
  </r>
  <r>
    <x v="145"/>
    <x v="145"/>
    <n v="614246"/>
    <n v="18356"/>
    <x v="1"/>
    <n v="5"/>
    <x v="5"/>
    <n v="2"/>
    <n v="24"/>
    <x v="5"/>
    <x v="1"/>
    <n v="-23603"/>
    <n v="-1"/>
    <n v="-4"/>
    <n v="-4"/>
  </r>
  <r>
    <x v="146"/>
    <x v="146"/>
    <n v="217364"/>
    <n v="6500"/>
    <x v="1"/>
    <n v="5"/>
    <x v="5"/>
    <n v="2"/>
    <n v="25"/>
    <x v="6"/>
    <x v="1"/>
    <n v="-6600"/>
    <n v="-1"/>
    <n v="-3"/>
    <n v="-3"/>
  </r>
  <r>
    <x v="147"/>
    <x v="147"/>
    <n v="225608"/>
    <n v="6752"/>
    <x v="1"/>
    <n v="5"/>
    <x v="5"/>
    <n v="2"/>
    <n v="26"/>
    <x v="0"/>
    <x v="1"/>
    <n v="-7418"/>
    <n v="-1"/>
    <n v="-3"/>
    <n v="-3"/>
  </r>
  <r>
    <x v="148"/>
    <x v="148"/>
    <n v="234497"/>
    <n v="7023"/>
    <x v="1"/>
    <n v="5"/>
    <x v="5"/>
    <n v="2"/>
    <n v="27"/>
    <x v="1"/>
    <x v="1"/>
    <n v="-8364"/>
    <n v="-1"/>
    <n v="-4"/>
    <n v="-4"/>
  </r>
  <r>
    <x v="149"/>
    <x v="149"/>
    <n v="252929"/>
    <n v="7579"/>
    <x v="1"/>
    <n v="5"/>
    <x v="5"/>
    <n v="2"/>
    <n v="28"/>
    <x v="2"/>
    <x v="1"/>
    <n v="-9208"/>
    <n v="-1"/>
    <n v="-4"/>
    <n v="-4"/>
  </r>
  <r>
    <x v="150"/>
    <x v="150"/>
    <n v="215119"/>
    <n v="6448"/>
    <x v="1"/>
    <n v="5"/>
    <x v="5"/>
    <n v="2"/>
    <n v="29"/>
    <x v="3"/>
    <x v="1"/>
    <n v="-7689"/>
    <n v="-1"/>
    <n v="-4"/>
    <n v="-4"/>
  </r>
  <r>
    <x v="151"/>
    <x v="151"/>
    <n v="521651"/>
    <n v="15637"/>
    <x v="1"/>
    <n v="5"/>
    <x v="5"/>
    <n v="2"/>
    <n v="30"/>
    <x v="4"/>
    <x v="1"/>
    <n v="-18502"/>
    <n v="-1"/>
    <n v="-4"/>
    <n v="-4"/>
  </r>
  <r>
    <x v="152"/>
    <x v="152"/>
    <n v="626259"/>
    <n v="18775"/>
    <x v="1"/>
    <n v="5"/>
    <x v="5"/>
    <n v="2"/>
    <n v="31"/>
    <x v="5"/>
    <x v="1"/>
    <n v="-22511"/>
    <n v="-1"/>
    <n v="-4"/>
    <n v="-4"/>
  </r>
  <r>
    <x v="153"/>
    <x v="153"/>
    <n v="473224"/>
    <n v="14188"/>
    <x v="1"/>
    <n v="6"/>
    <x v="6"/>
    <n v="2"/>
    <n v="1"/>
    <x v="6"/>
    <x v="1"/>
    <n v="-17207"/>
    <n v="-1"/>
    <n v="-4"/>
    <n v="-4"/>
  </r>
  <r>
    <x v="154"/>
    <x v="154"/>
    <n v="442156"/>
    <n v="13256"/>
    <x v="1"/>
    <n v="6"/>
    <x v="6"/>
    <n v="2"/>
    <n v="2"/>
    <x v="0"/>
    <x v="1"/>
    <n v="-16311"/>
    <n v="-1"/>
    <n v="-4"/>
    <n v="-4"/>
  </r>
  <r>
    <x v="155"/>
    <x v="155"/>
    <n v="340914"/>
    <n v="10223"/>
    <x v="1"/>
    <n v="6"/>
    <x v="6"/>
    <n v="2"/>
    <n v="3"/>
    <x v="1"/>
    <x v="1"/>
    <n v="-12696"/>
    <n v="-1"/>
    <n v="-4"/>
    <n v="-4"/>
  </r>
  <r>
    <x v="156"/>
    <x v="156"/>
    <n v="296903"/>
    <n v="8904"/>
    <x v="1"/>
    <n v="6"/>
    <x v="6"/>
    <n v="2"/>
    <n v="4"/>
    <x v="2"/>
    <x v="1"/>
    <n v="-10497"/>
    <n v="-1"/>
    <n v="-4"/>
    <n v="-4"/>
  </r>
  <r>
    <x v="157"/>
    <x v="157"/>
    <n v="192825"/>
    <n v="5783"/>
    <x v="1"/>
    <n v="6"/>
    <x v="6"/>
    <n v="2"/>
    <n v="5"/>
    <x v="3"/>
    <x v="1"/>
    <n v="-7835"/>
    <n v="-1"/>
    <n v="-4"/>
    <n v="-4"/>
  </r>
  <r>
    <x v="158"/>
    <x v="158"/>
    <n v="300214"/>
    <n v="9005"/>
    <x v="1"/>
    <n v="6"/>
    <x v="6"/>
    <n v="2"/>
    <n v="6"/>
    <x v="4"/>
    <x v="1"/>
    <n v="-12095"/>
    <n v="-1"/>
    <n v="-4"/>
    <n v="-4"/>
  </r>
  <r>
    <x v="159"/>
    <x v="159"/>
    <n v="407439"/>
    <n v="12222"/>
    <x v="1"/>
    <n v="6"/>
    <x v="6"/>
    <n v="2"/>
    <n v="7"/>
    <x v="5"/>
    <x v="1"/>
    <n v="-15508"/>
    <n v="-1"/>
    <n v="-4"/>
    <n v="-4"/>
  </r>
  <r>
    <x v="160"/>
    <x v="160"/>
    <n v="201255"/>
    <n v="6037"/>
    <x v="1"/>
    <n v="6"/>
    <x v="6"/>
    <n v="2"/>
    <n v="8"/>
    <x v="6"/>
    <x v="1"/>
    <n v="-7482"/>
    <n v="-1"/>
    <n v="-4"/>
    <n v="-4"/>
  </r>
  <r>
    <x v="161"/>
    <x v="161"/>
    <n v="220255"/>
    <n v="6607"/>
    <x v="1"/>
    <n v="6"/>
    <x v="6"/>
    <n v="2"/>
    <n v="9"/>
    <x v="0"/>
    <x v="1"/>
    <n v="-6077"/>
    <n v="-1"/>
    <n v="-3"/>
    <n v="-3"/>
  </r>
  <r>
    <x v="162"/>
    <x v="162"/>
    <n v="195255"/>
    <n v="5857"/>
    <x v="1"/>
    <n v="6"/>
    <x v="6"/>
    <n v="2"/>
    <n v="10"/>
    <x v="1"/>
    <x v="1"/>
    <n v="-6920"/>
    <n v="-1"/>
    <n v="-4"/>
    <n v="-4"/>
  </r>
  <r>
    <x v="163"/>
    <x v="163"/>
    <n v="180979"/>
    <n v="5429"/>
    <x v="1"/>
    <n v="6"/>
    <x v="6"/>
    <n v="2"/>
    <n v="11"/>
    <x v="2"/>
    <x v="1"/>
    <n v="-6654"/>
    <n v="-1"/>
    <n v="-4"/>
    <n v="-4"/>
  </r>
  <r>
    <x v="164"/>
    <x v="164"/>
    <n v="207758"/>
    <n v="6232"/>
    <x v="1"/>
    <n v="6"/>
    <x v="6"/>
    <n v="2"/>
    <n v="12"/>
    <x v="3"/>
    <x v="1"/>
    <n v="-7486"/>
    <n v="-1"/>
    <n v="-4"/>
    <n v="-4"/>
  </r>
  <r>
    <x v="165"/>
    <x v="165"/>
    <n v="486181"/>
    <n v="14585"/>
    <x v="1"/>
    <n v="6"/>
    <x v="6"/>
    <n v="2"/>
    <n v="13"/>
    <x v="4"/>
    <x v="1"/>
    <n v="-17479"/>
    <n v="-1"/>
    <n v="-4"/>
    <n v="-4"/>
  </r>
  <r>
    <x v="166"/>
    <x v="166"/>
    <n v="492135"/>
    <n v="14745"/>
    <x v="1"/>
    <n v="6"/>
    <x v="6"/>
    <n v="2"/>
    <n v="14"/>
    <x v="5"/>
    <x v="1"/>
    <n v="-18710"/>
    <n v="-1"/>
    <n v="-4"/>
    <n v="-4"/>
  </r>
  <r>
    <x v="167"/>
    <x v="167"/>
    <n v="233554"/>
    <n v="6991"/>
    <x v="1"/>
    <n v="6"/>
    <x v="6"/>
    <n v="2"/>
    <n v="15"/>
    <x v="6"/>
    <x v="1"/>
    <n v="-9322"/>
    <n v="-1"/>
    <n v="-4"/>
    <n v="-4"/>
  </r>
  <r>
    <x v="168"/>
    <x v="168"/>
    <n v="193340"/>
    <n v="5788"/>
    <x v="1"/>
    <n v="6"/>
    <x v="6"/>
    <n v="2"/>
    <n v="16"/>
    <x v="0"/>
    <x v="1"/>
    <n v="-7734"/>
    <n v="-1"/>
    <n v="-4"/>
    <n v="-4"/>
  </r>
  <r>
    <x v="169"/>
    <x v="169"/>
    <n v="221404"/>
    <n v="6632"/>
    <x v="1"/>
    <n v="6"/>
    <x v="6"/>
    <n v="2"/>
    <n v="17"/>
    <x v="1"/>
    <x v="1"/>
    <n v="-8716"/>
    <n v="-1"/>
    <n v="-4"/>
    <n v="-4"/>
  </r>
  <r>
    <x v="170"/>
    <x v="170"/>
    <n v="192058"/>
    <n v="5752"/>
    <x v="1"/>
    <n v="6"/>
    <x v="6"/>
    <n v="2"/>
    <n v="18"/>
    <x v="2"/>
    <x v="1"/>
    <n v="-7798"/>
    <n v="-1"/>
    <n v="-4"/>
    <n v="-4"/>
  </r>
  <r>
    <x v="171"/>
    <x v="171"/>
    <n v="119544"/>
    <n v="3578"/>
    <x v="1"/>
    <n v="6"/>
    <x v="6"/>
    <n v="2"/>
    <n v="19"/>
    <x v="3"/>
    <x v="1"/>
    <n v="-5808"/>
    <n v="-2"/>
    <n v="-5"/>
    <n v="-5"/>
  </r>
  <r>
    <x v="172"/>
    <x v="172"/>
    <n v="205351"/>
    <n v="6119"/>
    <x v="1"/>
    <n v="6"/>
    <x v="6"/>
    <n v="2"/>
    <n v="20"/>
    <x v="4"/>
    <x v="0"/>
    <n v="-2186"/>
    <n v="0"/>
    <n v="-1"/>
    <n v="-1"/>
  </r>
  <r>
    <x v="173"/>
    <x v="173"/>
    <n v="206919"/>
    <n v="6161"/>
    <x v="1"/>
    <n v="6"/>
    <x v="6"/>
    <n v="2"/>
    <n v="21"/>
    <x v="5"/>
    <x v="0"/>
    <n v="-3574"/>
    <n v="-1"/>
    <n v="-2"/>
    <n v="-2"/>
  </r>
  <r>
    <x v="174"/>
    <x v="174"/>
    <n v="135373"/>
    <n v="4015"/>
    <x v="1"/>
    <n v="6"/>
    <x v="6"/>
    <n v="2"/>
    <n v="22"/>
    <x v="6"/>
    <x v="2"/>
    <n v="-428"/>
    <n v="0"/>
    <n v="0"/>
    <n v="0"/>
  </r>
  <r>
    <x v="175"/>
    <x v="175"/>
    <n v="139206"/>
    <n v="4133"/>
    <x v="1"/>
    <n v="6"/>
    <x v="6"/>
    <n v="2"/>
    <n v="23"/>
    <x v="0"/>
    <x v="0"/>
    <n v="-908"/>
    <n v="0"/>
    <n v="-1"/>
    <n v="-1"/>
  </r>
  <r>
    <x v="176"/>
    <x v="176"/>
    <n v="35299"/>
    <n v="1047"/>
    <x v="1"/>
    <n v="6"/>
    <x v="6"/>
    <n v="2"/>
    <n v="24"/>
    <x v="1"/>
    <x v="4"/>
    <n v="1394"/>
    <n v="1"/>
    <n v="4"/>
    <n v="4"/>
  </r>
  <r>
    <x v="177"/>
    <x v="177"/>
    <n v="53925"/>
    <n v="1601"/>
    <x v="1"/>
    <n v="6"/>
    <x v="6"/>
    <n v="2"/>
    <n v="25"/>
    <x v="2"/>
    <x v="4"/>
    <n v="2152"/>
    <n v="1"/>
    <n v="4"/>
    <n v="4"/>
  </r>
  <r>
    <x v="178"/>
    <x v="178"/>
    <n v="53688"/>
    <n v="1592"/>
    <x v="1"/>
    <n v="6"/>
    <x v="6"/>
    <n v="2"/>
    <n v="26"/>
    <x v="3"/>
    <x v="4"/>
    <n v="2092"/>
    <n v="1"/>
    <n v="4"/>
    <n v="4"/>
  </r>
  <r>
    <x v="179"/>
    <x v="179"/>
    <n v="127302"/>
    <n v="3759"/>
    <x v="1"/>
    <n v="6"/>
    <x v="6"/>
    <n v="2"/>
    <n v="27"/>
    <x v="4"/>
    <x v="4"/>
    <n v="4419"/>
    <n v="1"/>
    <n v="3"/>
    <n v="3"/>
  </r>
  <r>
    <x v="180"/>
    <x v="180"/>
    <n v="141012"/>
    <n v="4172"/>
    <x v="1"/>
    <n v="6"/>
    <x v="6"/>
    <n v="2"/>
    <n v="28"/>
    <x v="5"/>
    <x v="4"/>
    <n v="5157"/>
    <n v="1"/>
    <n v="4"/>
    <n v="4"/>
  </r>
  <r>
    <x v="181"/>
    <x v="181"/>
    <n v="60084"/>
    <n v="1772"/>
    <x v="1"/>
    <n v="6"/>
    <x v="6"/>
    <n v="2"/>
    <n v="29"/>
    <x v="6"/>
    <x v="4"/>
    <n v="1990"/>
    <n v="1"/>
    <n v="3"/>
    <n v="3"/>
  </r>
  <r>
    <x v="182"/>
    <x v="182"/>
    <n v="90294"/>
    <n v="2672"/>
    <x v="1"/>
    <n v="6"/>
    <x v="6"/>
    <n v="2"/>
    <n v="30"/>
    <x v="0"/>
    <x v="4"/>
    <n v="3325"/>
    <n v="1"/>
    <n v="4"/>
    <n v="4"/>
  </r>
  <r>
    <x v="183"/>
    <x v="183"/>
    <n v="173843"/>
    <n v="5143"/>
    <x v="1"/>
    <n v="7"/>
    <x v="7"/>
    <n v="3"/>
    <n v="1"/>
    <x v="1"/>
    <x v="4"/>
    <n v="6340"/>
    <n v="1"/>
    <n v="4"/>
    <n v="4"/>
  </r>
  <r>
    <x v="184"/>
    <x v="184"/>
    <n v="101616"/>
    <n v="2990"/>
    <x v="1"/>
    <n v="7"/>
    <x v="7"/>
    <n v="3"/>
    <n v="2"/>
    <x v="2"/>
    <x v="4"/>
    <n v="3145"/>
    <n v="1"/>
    <n v="3"/>
    <n v="3"/>
  </r>
  <r>
    <x v="185"/>
    <x v="185"/>
    <n v="90927"/>
    <n v="2667"/>
    <x v="1"/>
    <n v="7"/>
    <x v="7"/>
    <n v="3"/>
    <n v="3"/>
    <x v="3"/>
    <x v="4"/>
    <n v="2523"/>
    <n v="1"/>
    <n v="3"/>
    <n v="3"/>
  </r>
  <r>
    <x v="186"/>
    <x v="186"/>
    <n v="95423"/>
    <n v="2799"/>
    <x v="1"/>
    <n v="7"/>
    <x v="7"/>
    <n v="3"/>
    <n v="4"/>
    <x v="4"/>
    <x v="4"/>
    <n v="2664"/>
    <n v="1"/>
    <n v="3"/>
    <n v="3"/>
  </r>
  <r>
    <x v="187"/>
    <x v="187"/>
    <n v="114396"/>
    <n v="3355"/>
    <x v="1"/>
    <n v="7"/>
    <x v="7"/>
    <n v="3"/>
    <n v="5"/>
    <x v="5"/>
    <x v="4"/>
    <n v="3167"/>
    <n v="1"/>
    <n v="3"/>
    <n v="3"/>
  </r>
  <r>
    <x v="188"/>
    <x v="188"/>
    <n v="68252"/>
    <n v="2002"/>
    <x v="1"/>
    <n v="7"/>
    <x v="7"/>
    <n v="3"/>
    <n v="6"/>
    <x v="6"/>
    <x v="4"/>
    <n v="1901"/>
    <n v="1"/>
    <n v="3"/>
    <n v="3"/>
  </r>
  <r>
    <x v="189"/>
    <x v="189"/>
    <n v="66991"/>
    <n v="1967"/>
    <x v="1"/>
    <n v="7"/>
    <x v="7"/>
    <n v="3"/>
    <n v="7"/>
    <x v="0"/>
    <x v="4"/>
    <n v="1928"/>
    <n v="1"/>
    <n v="3"/>
    <n v="3"/>
  </r>
  <r>
    <x v="190"/>
    <x v="190"/>
    <n v="105373"/>
    <n v="3094"/>
    <x v="1"/>
    <n v="7"/>
    <x v="7"/>
    <n v="3"/>
    <n v="8"/>
    <x v="1"/>
    <x v="4"/>
    <n v="3044"/>
    <n v="1"/>
    <n v="3"/>
    <n v="3"/>
  </r>
  <r>
    <x v="191"/>
    <x v="191"/>
    <n v="79496"/>
    <n v="2335"/>
    <x v="1"/>
    <n v="7"/>
    <x v="7"/>
    <n v="3"/>
    <n v="9"/>
    <x v="2"/>
    <x v="4"/>
    <n v="2306"/>
    <n v="1"/>
    <n v="3"/>
    <n v="3"/>
  </r>
  <r>
    <x v="192"/>
    <x v="192"/>
    <n v="101271"/>
    <n v="2968"/>
    <x v="1"/>
    <n v="7"/>
    <x v="7"/>
    <n v="3"/>
    <n v="10"/>
    <x v="3"/>
    <x v="4"/>
    <n v="2728"/>
    <n v="1"/>
    <n v="3"/>
    <n v="3"/>
  </r>
  <r>
    <x v="193"/>
    <x v="193"/>
    <n v="130633"/>
    <n v="3825"/>
    <x v="1"/>
    <n v="7"/>
    <x v="7"/>
    <n v="3"/>
    <n v="11"/>
    <x v="4"/>
    <x v="4"/>
    <n v="3385"/>
    <n v="1"/>
    <n v="3"/>
    <n v="3"/>
  </r>
  <r>
    <x v="194"/>
    <x v="194"/>
    <n v="96688"/>
    <n v="2833"/>
    <x v="1"/>
    <n v="7"/>
    <x v="7"/>
    <n v="3"/>
    <n v="12"/>
    <x v="5"/>
    <x v="4"/>
    <n v="2589"/>
    <n v="1"/>
    <n v="3"/>
    <n v="3"/>
  </r>
  <r>
    <x v="195"/>
    <x v="195"/>
    <n v="48370"/>
    <n v="1419"/>
    <x v="1"/>
    <n v="7"/>
    <x v="7"/>
    <n v="3"/>
    <n v="13"/>
    <x v="6"/>
    <x v="4"/>
    <n v="1335"/>
    <n v="1"/>
    <n v="3"/>
    <n v="3"/>
  </r>
  <r>
    <x v="196"/>
    <x v="196"/>
    <n v="73393"/>
    <n v="2151"/>
    <x v="1"/>
    <n v="7"/>
    <x v="7"/>
    <n v="3"/>
    <n v="14"/>
    <x v="0"/>
    <x v="4"/>
    <n v="1991"/>
    <n v="1"/>
    <n v="3"/>
    <n v="3"/>
  </r>
  <r>
    <x v="197"/>
    <x v="197"/>
    <n v="107437"/>
    <n v="3148"/>
    <x v="1"/>
    <n v="7"/>
    <x v="7"/>
    <n v="3"/>
    <n v="15"/>
    <x v="1"/>
    <x v="4"/>
    <n v="2851"/>
    <n v="1"/>
    <n v="3"/>
    <n v="3"/>
  </r>
  <r>
    <x v="198"/>
    <x v="198"/>
    <n v="164641"/>
    <n v="4825"/>
    <x v="1"/>
    <n v="7"/>
    <x v="7"/>
    <n v="3"/>
    <n v="16"/>
    <x v="2"/>
    <x v="1"/>
    <n v="-8105"/>
    <n v="-2"/>
    <n v="-5"/>
    <n v="-5"/>
  </r>
  <r>
    <x v="199"/>
    <x v="199"/>
    <n v="78845"/>
    <n v="2307"/>
    <x v="1"/>
    <n v="7"/>
    <x v="7"/>
    <n v="3"/>
    <n v="17"/>
    <x v="3"/>
    <x v="4"/>
    <n v="1978"/>
    <n v="1"/>
    <n v="2"/>
    <n v="2"/>
  </r>
  <r>
    <x v="200"/>
    <x v="200"/>
    <n v="121612"/>
    <n v="3557"/>
    <x v="1"/>
    <n v="7"/>
    <x v="7"/>
    <n v="3"/>
    <n v="18"/>
    <x v="4"/>
    <x v="4"/>
    <n v="3004"/>
    <n v="1"/>
    <n v="2"/>
    <n v="2"/>
  </r>
  <r>
    <x v="201"/>
    <x v="201"/>
    <n v="255780"/>
    <n v="7485"/>
    <x v="1"/>
    <n v="7"/>
    <x v="7"/>
    <n v="3"/>
    <n v="19"/>
    <x v="5"/>
    <x v="1"/>
    <n v="-13021"/>
    <n v="-2"/>
    <n v="-5"/>
    <n v="-5"/>
  </r>
  <r>
    <x v="202"/>
    <x v="202"/>
    <n v="83021"/>
    <n v="2428"/>
    <x v="1"/>
    <n v="7"/>
    <x v="7"/>
    <n v="3"/>
    <n v="20"/>
    <x v="6"/>
    <x v="4"/>
    <n v="2058"/>
    <n v="1"/>
    <n v="2"/>
    <n v="2"/>
  </r>
  <r>
    <x v="203"/>
    <x v="203"/>
    <n v="84643"/>
    <n v="2475"/>
    <x v="1"/>
    <n v="7"/>
    <x v="7"/>
    <n v="3"/>
    <n v="21"/>
    <x v="0"/>
    <x v="4"/>
    <n v="2095"/>
    <n v="1"/>
    <n v="2"/>
    <n v="2"/>
  </r>
  <r>
    <x v="204"/>
    <x v="204"/>
    <n v="55279"/>
    <n v="1618"/>
    <x v="1"/>
    <n v="7"/>
    <x v="7"/>
    <n v="3"/>
    <n v="22"/>
    <x v="1"/>
    <x v="4"/>
    <n v="1395"/>
    <n v="1"/>
    <n v="2"/>
    <n v="2"/>
  </r>
  <r>
    <x v="205"/>
    <x v="205"/>
    <n v="173725"/>
    <n v="5106"/>
    <x v="1"/>
    <n v="7"/>
    <x v="7"/>
    <n v="3"/>
    <n v="23"/>
    <x v="2"/>
    <x v="1"/>
    <n v="-7983"/>
    <n v="-2"/>
    <n v="-5"/>
    <n v="-5"/>
  </r>
  <r>
    <x v="206"/>
    <x v="206"/>
    <n v="92417"/>
    <n v="2729"/>
    <x v="1"/>
    <n v="7"/>
    <x v="7"/>
    <n v="3"/>
    <n v="24"/>
    <x v="3"/>
    <x v="4"/>
    <n v="3201"/>
    <n v="1"/>
    <n v="3"/>
    <n v="3"/>
  </r>
  <r>
    <x v="207"/>
    <x v="207"/>
    <n v="538260"/>
    <n v="15897"/>
    <x v="1"/>
    <n v="7"/>
    <x v="7"/>
    <n v="3"/>
    <n v="25"/>
    <x v="4"/>
    <x v="1"/>
    <n v="-22561"/>
    <n v="-1"/>
    <n v="-4"/>
    <n v="-4"/>
  </r>
  <r>
    <x v="208"/>
    <x v="208"/>
    <n v="586671"/>
    <n v="17343"/>
    <x v="1"/>
    <n v="7"/>
    <x v="7"/>
    <n v="3"/>
    <n v="26"/>
    <x v="5"/>
    <x v="1"/>
    <n v="-24080"/>
    <n v="-1"/>
    <n v="-4"/>
    <n v="-4"/>
  </r>
  <r>
    <x v="209"/>
    <x v="209"/>
    <n v="277238"/>
    <n v="8207"/>
    <x v="1"/>
    <n v="7"/>
    <x v="7"/>
    <n v="3"/>
    <n v="27"/>
    <x v="6"/>
    <x v="1"/>
    <n v="-10932"/>
    <n v="-1"/>
    <n v="-4"/>
    <n v="-4"/>
  </r>
  <r>
    <x v="210"/>
    <x v="210"/>
    <n v="304508"/>
    <n v="9018"/>
    <x v="1"/>
    <n v="7"/>
    <x v="7"/>
    <n v="3"/>
    <n v="28"/>
    <x v="0"/>
    <x v="1"/>
    <n v="-11874"/>
    <n v="-1"/>
    <n v="-4"/>
    <n v="-4"/>
  </r>
  <r>
    <x v="211"/>
    <x v="211"/>
    <n v="221017"/>
    <n v="6548"/>
    <x v="1"/>
    <n v="7"/>
    <x v="7"/>
    <n v="3"/>
    <n v="29"/>
    <x v="1"/>
    <x v="1"/>
    <n v="-8656"/>
    <n v="-1"/>
    <n v="-4"/>
    <n v="-4"/>
  </r>
  <r>
    <x v="212"/>
    <x v="212"/>
    <n v="205904"/>
    <n v="6102"/>
    <x v="1"/>
    <n v="7"/>
    <x v="7"/>
    <n v="3"/>
    <n v="30"/>
    <x v="2"/>
    <x v="1"/>
    <n v="-7884"/>
    <n v="-1"/>
    <n v="-4"/>
    <n v="-4"/>
  </r>
  <r>
    <x v="213"/>
    <x v="213"/>
    <n v="307222"/>
    <n v="9108"/>
    <x v="1"/>
    <n v="7"/>
    <x v="7"/>
    <n v="3"/>
    <n v="31"/>
    <x v="3"/>
    <x v="1"/>
    <n v="-11714"/>
    <n v="-1"/>
    <n v="-4"/>
    <n v="-4"/>
  </r>
  <r>
    <x v="214"/>
    <x v="214"/>
    <n v="636341"/>
    <n v="18867"/>
    <x v="1"/>
    <n v="8"/>
    <x v="8"/>
    <n v="3"/>
    <n v="1"/>
    <x v="4"/>
    <x v="1"/>
    <n v="-24447"/>
    <n v="-1"/>
    <n v="-4"/>
    <n v="-4"/>
  </r>
  <r>
    <x v="215"/>
    <x v="215"/>
    <n v="653780"/>
    <n v="19384"/>
    <x v="1"/>
    <n v="8"/>
    <x v="8"/>
    <n v="3"/>
    <n v="2"/>
    <x v="5"/>
    <x v="1"/>
    <n v="-25095"/>
    <n v="-1"/>
    <n v="-4"/>
    <n v="-4"/>
  </r>
  <r>
    <x v="216"/>
    <x v="216"/>
    <n v="319500"/>
    <n v="9473"/>
    <x v="1"/>
    <n v="8"/>
    <x v="8"/>
    <n v="3"/>
    <n v="3"/>
    <x v="6"/>
    <x v="1"/>
    <n v="-12227"/>
    <n v="-1"/>
    <n v="-4"/>
    <n v="-4"/>
  </r>
  <r>
    <x v="217"/>
    <x v="217"/>
    <n v="376646"/>
    <n v="11170"/>
    <x v="1"/>
    <n v="8"/>
    <x v="8"/>
    <n v="3"/>
    <n v="4"/>
    <x v="0"/>
    <x v="1"/>
    <n v="-14539"/>
    <n v="-1"/>
    <n v="-4"/>
    <n v="-4"/>
  </r>
  <r>
    <x v="218"/>
    <x v="218"/>
    <n v="272809"/>
    <n v="8091"/>
    <x v="1"/>
    <n v="8"/>
    <x v="8"/>
    <n v="3"/>
    <n v="5"/>
    <x v="1"/>
    <x v="1"/>
    <n v="-10460"/>
    <n v="-1"/>
    <n v="-4"/>
    <n v="-4"/>
  </r>
  <r>
    <x v="219"/>
    <x v="219"/>
    <n v="77650"/>
    <n v="2303"/>
    <x v="1"/>
    <n v="8"/>
    <x v="8"/>
    <n v="3"/>
    <n v="6"/>
    <x v="2"/>
    <x v="4"/>
    <n v="3048"/>
    <n v="1"/>
    <n v="4"/>
    <n v="4"/>
  </r>
  <r>
    <x v="220"/>
    <x v="220"/>
    <n v="99367"/>
    <n v="2947"/>
    <x v="1"/>
    <n v="8"/>
    <x v="8"/>
    <n v="3"/>
    <n v="7"/>
    <x v="3"/>
    <x v="4"/>
    <n v="3905"/>
    <n v="1"/>
    <n v="4"/>
    <n v="4"/>
  </r>
  <r>
    <x v="221"/>
    <x v="221"/>
    <n v="456510"/>
    <n v="13542"/>
    <x v="1"/>
    <n v="8"/>
    <x v="8"/>
    <n v="3"/>
    <n v="8"/>
    <x v="4"/>
    <x v="1"/>
    <n v="-17088"/>
    <n v="-1"/>
    <n v="-4"/>
    <n v="-4"/>
  </r>
  <r>
    <x v="222"/>
    <x v="222"/>
    <n v="424341"/>
    <n v="12588"/>
    <x v="1"/>
    <n v="8"/>
    <x v="8"/>
    <n v="3"/>
    <n v="9"/>
    <x v="5"/>
    <x v="1"/>
    <n v="-15725"/>
    <n v="-1"/>
    <n v="-4"/>
    <n v="-4"/>
  </r>
  <r>
    <x v="223"/>
    <x v="223"/>
    <n v="203331"/>
    <n v="6032"/>
    <x v="1"/>
    <n v="8"/>
    <x v="8"/>
    <n v="3"/>
    <n v="10"/>
    <x v="6"/>
    <x v="1"/>
    <n v="-7465"/>
    <n v="-1"/>
    <n v="-4"/>
    <n v="-4"/>
  </r>
  <r>
    <x v="224"/>
    <x v="224"/>
    <n v="241135"/>
    <n v="7158"/>
    <x v="1"/>
    <n v="8"/>
    <x v="8"/>
    <n v="3"/>
    <n v="11"/>
    <x v="0"/>
    <x v="1"/>
    <n v="-8787"/>
    <n v="-1"/>
    <n v="-4"/>
    <n v="-4"/>
  </r>
  <r>
    <x v="225"/>
    <x v="225"/>
    <n v="197438"/>
    <n v="5863"/>
    <x v="1"/>
    <n v="8"/>
    <x v="8"/>
    <n v="3"/>
    <n v="12"/>
    <x v="1"/>
    <x v="1"/>
    <n v="-7113"/>
    <n v="-1"/>
    <n v="-4"/>
    <n v="-4"/>
  </r>
  <r>
    <x v="226"/>
    <x v="226"/>
    <n v="205114"/>
    <n v="6092"/>
    <x v="1"/>
    <n v="8"/>
    <x v="8"/>
    <n v="3"/>
    <n v="13"/>
    <x v="2"/>
    <x v="1"/>
    <n v="-7416"/>
    <n v="-1"/>
    <n v="-4"/>
    <n v="-4"/>
  </r>
  <r>
    <x v="227"/>
    <x v="227"/>
    <n v="184688"/>
    <n v="5485"/>
    <x v="1"/>
    <n v="8"/>
    <x v="8"/>
    <n v="3"/>
    <n v="14"/>
    <x v="3"/>
    <x v="1"/>
    <n v="-6779"/>
    <n v="-1"/>
    <n v="-4"/>
    <n v="-4"/>
  </r>
  <r>
    <x v="228"/>
    <x v="228"/>
    <n v="491559"/>
    <n v="14587"/>
    <x v="1"/>
    <n v="8"/>
    <x v="8"/>
    <n v="3"/>
    <n v="15"/>
    <x v="4"/>
    <x v="1"/>
    <n v="-18238"/>
    <n v="-1"/>
    <n v="-4"/>
    <n v="-4"/>
  </r>
  <r>
    <x v="229"/>
    <x v="229"/>
    <n v="562953"/>
    <n v="16686"/>
    <x v="1"/>
    <n v="8"/>
    <x v="8"/>
    <n v="3"/>
    <n v="16"/>
    <x v="5"/>
    <x v="1"/>
    <n v="-21352"/>
    <n v="-1"/>
    <n v="-4"/>
    <n v="-4"/>
  </r>
  <r>
    <x v="230"/>
    <x v="230"/>
    <n v="249203"/>
    <n v="7380"/>
    <x v="1"/>
    <n v="8"/>
    <x v="8"/>
    <n v="3"/>
    <n v="17"/>
    <x v="6"/>
    <x v="1"/>
    <n v="-9689"/>
    <n v="-1"/>
    <n v="-4"/>
    <n v="-4"/>
  </r>
  <r>
    <x v="231"/>
    <x v="231"/>
    <n v="265533"/>
    <n v="7864"/>
    <x v="1"/>
    <n v="8"/>
    <x v="8"/>
    <n v="3"/>
    <n v="18"/>
    <x v="0"/>
    <x v="1"/>
    <n v="-10308"/>
    <n v="-1"/>
    <n v="-4"/>
    <n v="-4"/>
  </r>
  <r>
    <x v="232"/>
    <x v="232"/>
    <n v="167021"/>
    <n v="4941"/>
    <x v="1"/>
    <n v="8"/>
    <x v="8"/>
    <n v="3"/>
    <n v="19"/>
    <x v="1"/>
    <x v="1"/>
    <n v="-6649"/>
    <n v="-1"/>
    <n v="-4"/>
    <n v="-4"/>
  </r>
  <r>
    <x v="233"/>
    <x v="233"/>
    <n v="174723"/>
    <n v="5151"/>
    <x v="1"/>
    <n v="8"/>
    <x v="8"/>
    <n v="3"/>
    <n v="20"/>
    <x v="2"/>
    <x v="0"/>
    <n v="-3136"/>
    <n v="-1"/>
    <n v="-2"/>
    <n v="-2"/>
  </r>
  <r>
    <x v="234"/>
    <x v="234"/>
    <n v="167240"/>
    <n v="4928"/>
    <x v="1"/>
    <n v="8"/>
    <x v="8"/>
    <n v="3"/>
    <n v="21"/>
    <x v="3"/>
    <x v="0"/>
    <n v="-3032"/>
    <n v="-1"/>
    <n v="-2"/>
    <n v="-2"/>
  </r>
  <r>
    <x v="235"/>
    <x v="235"/>
    <n v="384006"/>
    <n v="11309"/>
    <x v="1"/>
    <n v="8"/>
    <x v="8"/>
    <n v="3"/>
    <n v="22"/>
    <x v="4"/>
    <x v="0"/>
    <n v="-7227"/>
    <n v="-1"/>
    <n v="-2"/>
    <n v="-2"/>
  </r>
  <r>
    <x v="236"/>
    <x v="236"/>
    <n v="463250"/>
    <n v="13613"/>
    <x v="1"/>
    <n v="8"/>
    <x v="8"/>
    <n v="3"/>
    <n v="23"/>
    <x v="5"/>
    <x v="0"/>
    <n v="-9617"/>
    <n v="-1"/>
    <n v="-2"/>
    <n v="-2"/>
  </r>
  <r>
    <x v="237"/>
    <x v="237"/>
    <n v="218348"/>
    <n v="6424"/>
    <x v="1"/>
    <n v="8"/>
    <x v="8"/>
    <n v="3"/>
    <n v="24"/>
    <x v="6"/>
    <x v="0"/>
    <n v="-3955"/>
    <n v="-1"/>
    <n v="-2"/>
    <n v="-2"/>
  </r>
  <r>
    <x v="238"/>
    <x v="238"/>
    <n v="323293"/>
    <n v="9493"/>
    <x v="1"/>
    <n v="8"/>
    <x v="8"/>
    <n v="3"/>
    <n v="25"/>
    <x v="0"/>
    <x v="0"/>
    <n v="-6889"/>
    <n v="-1"/>
    <n v="-2"/>
    <n v="-2"/>
  </r>
  <r>
    <x v="239"/>
    <x v="239"/>
    <n v="259861"/>
    <n v="7619"/>
    <x v="1"/>
    <n v="8"/>
    <x v="8"/>
    <n v="3"/>
    <n v="26"/>
    <x v="1"/>
    <x v="1"/>
    <n v="-17036"/>
    <n v="-2"/>
    <n v="-7"/>
    <n v="-7"/>
  </r>
  <r>
    <x v="240"/>
    <x v="240"/>
    <n v="304335"/>
    <n v="8909"/>
    <x v="1"/>
    <n v="8"/>
    <x v="8"/>
    <n v="3"/>
    <n v="27"/>
    <x v="2"/>
    <x v="3"/>
    <n v="-29623"/>
    <n v="-3"/>
    <n v="-11"/>
    <n v="-11"/>
  </r>
  <r>
    <x v="241"/>
    <x v="241"/>
    <n v="287169"/>
    <n v="8400"/>
    <x v="1"/>
    <n v="8"/>
    <x v="8"/>
    <n v="3"/>
    <n v="28"/>
    <x v="3"/>
    <x v="3"/>
    <n v="-29102"/>
    <n v="-3"/>
    <n v="-11"/>
    <n v="-11"/>
  </r>
  <r>
    <x v="242"/>
    <x v="242"/>
    <n v="660938"/>
    <n v="19317"/>
    <x v="1"/>
    <n v="8"/>
    <x v="8"/>
    <n v="3"/>
    <n v="29"/>
    <x v="4"/>
    <x v="3"/>
    <n v="-66931"/>
    <n v="-3"/>
    <n v="-11"/>
    <n v="-11"/>
  </r>
  <r>
    <x v="243"/>
    <x v="243"/>
    <n v="797789"/>
    <n v="23310"/>
    <x v="1"/>
    <n v="8"/>
    <x v="8"/>
    <n v="3"/>
    <n v="30"/>
    <x v="5"/>
    <x v="3"/>
    <n v="-80692"/>
    <n v="-3"/>
    <n v="-11"/>
    <n v="-11"/>
  </r>
  <r>
    <x v="244"/>
    <x v="244"/>
    <n v="398563"/>
    <n v="11646"/>
    <x v="1"/>
    <n v="8"/>
    <x v="8"/>
    <n v="3"/>
    <n v="31"/>
    <x v="6"/>
    <x v="3"/>
    <n v="-40392"/>
    <n v="-3"/>
    <n v="-11"/>
    <n v="-11"/>
  </r>
  <r>
    <x v="245"/>
    <x v="245"/>
    <n v="662851"/>
    <n v="19366"/>
    <x v="1"/>
    <n v="9"/>
    <x v="9"/>
    <n v="3"/>
    <n v="1"/>
    <x v="0"/>
    <x v="3"/>
    <n v="-67897"/>
    <n v="-4"/>
    <n v="-11"/>
    <n v="-11"/>
  </r>
  <r>
    <x v="246"/>
    <x v="246"/>
    <n v="523480"/>
    <n v="15291"/>
    <x v="1"/>
    <n v="9"/>
    <x v="9"/>
    <n v="3"/>
    <n v="2"/>
    <x v="1"/>
    <x v="3"/>
    <n v="-54010"/>
    <n v="-4"/>
    <n v="-12"/>
    <n v="-12"/>
  </r>
  <r>
    <x v="247"/>
    <x v="247"/>
    <n v="517181"/>
    <n v="15100"/>
    <x v="1"/>
    <n v="9"/>
    <x v="9"/>
    <n v="3"/>
    <n v="3"/>
    <x v="2"/>
    <x v="3"/>
    <n v="-53113"/>
    <n v="-4"/>
    <n v="-11"/>
    <n v="-11"/>
  </r>
  <r>
    <x v="248"/>
    <x v="248"/>
    <n v="348177"/>
    <n v="10164"/>
    <x v="1"/>
    <n v="9"/>
    <x v="9"/>
    <n v="3"/>
    <n v="4"/>
    <x v="3"/>
    <x v="3"/>
    <n v="-35865"/>
    <n v="-4"/>
    <n v="-11"/>
    <n v="-11"/>
  </r>
  <r>
    <x v="249"/>
    <x v="249"/>
    <n v="558767"/>
    <n v="16310"/>
    <x v="1"/>
    <n v="9"/>
    <x v="9"/>
    <n v="3"/>
    <n v="5"/>
    <x v="4"/>
    <x v="3"/>
    <n v="-57488"/>
    <n v="-4"/>
    <n v="-11"/>
    <n v="-11"/>
  </r>
  <r>
    <x v="250"/>
    <x v="250"/>
    <n v="616170"/>
    <n v="17985"/>
    <x v="1"/>
    <n v="9"/>
    <x v="9"/>
    <n v="3"/>
    <n v="6"/>
    <x v="5"/>
    <x v="3"/>
    <n v="-63466"/>
    <n v="-4"/>
    <n v="-11"/>
    <n v="-11"/>
  </r>
  <r>
    <x v="251"/>
    <x v="251"/>
    <n v="261088"/>
    <n v="7620"/>
    <x v="1"/>
    <n v="9"/>
    <x v="9"/>
    <n v="3"/>
    <n v="7"/>
    <x v="6"/>
    <x v="3"/>
    <n v="-26935"/>
    <n v="-4"/>
    <n v="-12"/>
    <n v="-12"/>
  </r>
  <r>
    <x v="252"/>
    <x v="252"/>
    <n v="272633"/>
    <n v="7958"/>
    <x v="1"/>
    <n v="9"/>
    <x v="9"/>
    <n v="3"/>
    <n v="8"/>
    <x v="0"/>
    <x v="3"/>
    <n v="-28152"/>
    <n v="-4"/>
    <n v="-12"/>
    <n v="-12"/>
  </r>
  <r>
    <x v="253"/>
    <x v="253"/>
    <n v="120071"/>
    <n v="3503"/>
    <x v="1"/>
    <n v="9"/>
    <x v="9"/>
    <n v="3"/>
    <n v="9"/>
    <x v="1"/>
    <x v="4"/>
    <n v="2679"/>
    <n v="1"/>
    <n v="2"/>
    <n v="2"/>
  </r>
  <r>
    <x v="254"/>
    <x v="254"/>
    <n v="77072"/>
    <n v="2247"/>
    <x v="1"/>
    <n v="9"/>
    <x v="9"/>
    <n v="3"/>
    <n v="10"/>
    <x v="2"/>
    <x v="4"/>
    <n v="1665"/>
    <n v="1"/>
    <n v="2"/>
    <n v="2"/>
  </r>
  <r>
    <x v="255"/>
    <x v="255"/>
    <n v="69489"/>
    <n v="2023"/>
    <x v="1"/>
    <n v="9"/>
    <x v="9"/>
    <n v="3"/>
    <n v="11"/>
    <x v="3"/>
    <x v="4"/>
    <n v="1386"/>
    <n v="1"/>
    <n v="2"/>
    <n v="2"/>
  </r>
  <r>
    <x v="256"/>
    <x v="256"/>
    <n v="145956"/>
    <n v="4242"/>
    <x v="1"/>
    <n v="9"/>
    <x v="9"/>
    <n v="3"/>
    <n v="12"/>
    <x v="4"/>
    <x v="4"/>
    <n v="2678"/>
    <n v="1"/>
    <n v="2"/>
    <n v="2"/>
  </r>
  <r>
    <x v="257"/>
    <x v="257"/>
    <n v="168652"/>
    <n v="4901"/>
    <x v="1"/>
    <n v="9"/>
    <x v="9"/>
    <n v="3"/>
    <n v="13"/>
    <x v="5"/>
    <x v="4"/>
    <n v="3073"/>
    <n v="1"/>
    <n v="2"/>
    <n v="2"/>
  </r>
  <r>
    <x v="258"/>
    <x v="258"/>
    <n v="84948"/>
    <n v="2467"/>
    <x v="1"/>
    <n v="9"/>
    <x v="9"/>
    <n v="3"/>
    <n v="14"/>
    <x v="6"/>
    <x v="4"/>
    <n v="1487"/>
    <n v="1"/>
    <n v="2"/>
    <n v="2"/>
  </r>
  <r>
    <x v="259"/>
    <x v="259"/>
    <n v="118094"/>
    <n v="3432"/>
    <x v="1"/>
    <n v="9"/>
    <x v="9"/>
    <n v="3"/>
    <n v="15"/>
    <x v="0"/>
    <x v="4"/>
    <n v="2142"/>
    <n v="1"/>
    <n v="2"/>
    <n v="2"/>
  </r>
  <r>
    <x v="260"/>
    <x v="260"/>
    <n v="81753"/>
    <n v="2375"/>
    <x v="1"/>
    <n v="9"/>
    <x v="9"/>
    <n v="3"/>
    <n v="16"/>
    <x v="1"/>
    <x v="4"/>
    <n v="1451"/>
    <n v="1"/>
    <n v="2"/>
    <n v="2"/>
  </r>
  <r>
    <x v="261"/>
    <x v="261"/>
    <n v="72472"/>
    <n v="2105"/>
    <x v="1"/>
    <n v="9"/>
    <x v="9"/>
    <n v="3"/>
    <n v="17"/>
    <x v="2"/>
    <x v="4"/>
    <n v="1296"/>
    <n v="1"/>
    <n v="2"/>
    <n v="2"/>
  </r>
  <r>
    <x v="262"/>
    <x v="262"/>
    <n v="68280"/>
    <n v="1982"/>
    <x v="1"/>
    <n v="9"/>
    <x v="9"/>
    <n v="3"/>
    <n v="18"/>
    <x v="3"/>
    <x v="4"/>
    <n v="1145"/>
    <n v="1"/>
    <n v="2"/>
    <n v="2"/>
  </r>
  <r>
    <x v="263"/>
    <x v="263"/>
    <n v="135277"/>
    <n v="3915"/>
    <x v="1"/>
    <n v="9"/>
    <x v="9"/>
    <n v="3"/>
    <n v="19"/>
    <x v="4"/>
    <x v="4"/>
    <n v="1878"/>
    <n v="0"/>
    <n v="1"/>
    <n v="1"/>
  </r>
  <r>
    <x v="264"/>
    <x v="264"/>
    <n v="151376"/>
    <n v="4383"/>
    <x v="1"/>
    <n v="9"/>
    <x v="9"/>
    <n v="3"/>
    <n v="20"/>
    <x v="5"/>
    <x v="4"/>
    <n v="2193"/>
    <n v="1"/>
    <n v="1"/>
    <n v="1"/>
  </r>
  <r>
    <x v="265"/>
    <x v="265"/>
    <n v="74547"/>
    <n v="2159"/>
    <x v="1"/>
    <n v="9"/>
    <x v="9"/>
    <n v="3"/>
    <n v="21"/>
    <x v="6"/>
    <x v="4"/>
    <n v="1087"/>
    <n v="1"/>
    <n v="1"/>
    <n v="1"/>
  </r>
  <r>
    <x v="266"/>
    <x v="266"/>
    <n v="89654"/>
    <n v="2592"/>
    <x v="1"/>
    <n v="9"/>
    <x v="9"/>
    <n v="3"/>
    <n v="22"/>
    <x v="0"/>
    <x v="4"/>
    <n v="1162"/>
    <n v="0"/>
    <n v="1"/>
    <n v="1"/>
  </r>
  <r>
    <x v="267"/>
    <x v="267"/>
    <n v="108880"/>
    <n v="3143"/>
    <x v="1"/>
    <n v="9"/>
    <x v="9"/>
    <n v="3"/>
    <n v="23"/>
    <x v="1"/>
    <x v="4"/>
    <n v="1238"/>
    <n v="0"/>
    <n v="1"/>
    <n v="1"/>
  </r>
  <r>
    <x v="268"/>
    <x v="268"/>
    <n v="223554"/>
    <n v="6457"/>
    <x v="1"/>
    <n v="9"/>
    <x v="9"/>
    <n v="3"/>
    <n v="24"/>
    <x v="2"/>
    <x v="0"/>
    <n v="-13646"/>
    <n v="-2"/>
    <n v="-7"/>
    <n v="-7"/>
  </r>
  <r>
    <x v="269"/>
    <x v="269"/>
    <n v="382968"/>
    <n v="11039"/>
    <x v="1"/>
    <n v="9"/>
    <x v="9"/>
    <n v="3"/>
    <n v="25"/>
    <x v="3"/>
    <x v="1"/>
    <n v="-24602"/>
    <n v="-2"/>
    <n v="-7"/>
    <n v="-7"/>
  </r>
  <r>
    <x v="270"/>
    <x v="270"/>
    <n v="625981"/>
    <n v="18036"/>
    <x v="1"/>
    <n v="9"/>
    <x v="9"/>
    <n v="3"/>
    <n v="26"/>
    <x v="4"/>
    <x v="1"/>
    <n v="-40517"/>
    <n v="-2"/>
    <n v="-7"/>
    <n v="-7"/>
  </r>
  <r>
    <x v="271"/>
    <x v="271"/>
    <n v="661011"/>
    <n v="19017"/>
    <x v="1"/>
    <n v="9"/>
    <x v="9"/>
    <n v="3"/>
    <n v="27"/>
    <x v="5"/>
    <x v="1"/>
    <n v="-43991"/>
    <n v="-2"/>
    <n v="-7"/>
    <n v="-7"/>
  </r>
  <r>
    <x v="272"/>
    <x v="272"/>
    <n v="304441"/>
    <n v="8747"/>
    <x v="1"/>
    <n v="9"/>
    <x v="9"/>
    <n v="3"/>
    <n v="28"/>
    <x v="6"/>
    <x v="1"/>
    <n v="-20590"/>
    <n v="-2"/>
    <n v="-7"/>
    <n v="-7"/>
  </r>
  <r>
    <x v="273"/>
    <x v="273"/>
    <n v="283913"/>
    <n v="8147"/>
    <x v="1"/>
    <n v="9"/>
    <x v="9"/>
    <n v="3"/>
    <n v="29"/>
    <x v="0"/>
    <x v="1"/>
    <n v="-19596"/>
    <n v="-2"/>
    <n v="-7"/>
    <n v="-7"/>
  </r>
  <r>
    <x v="274"/>
    <x v="274"/>
    <n v="384823"/>
    <n v="11036"/>
    <x v="1"/>
    <n v="9"/>
    <x v="9"/>
    <n v="3"/>
    <n v="30"/>
    <x v="1"/>
    <x v="1"/>
    <n v="-26798"/>
    <n v="-2"/>
    <n v="-7"/>
    <n v="-7"/>
  </r>
  <r>
    <x v="275"/>
    <x v="275"/>
    <n v="639307"/>
    <n v="18330"/>
    <x v="1"/>
    <n v="10"/>
    <x v="10"/>
    <n v="4"/>
    <n v="1"/>
    <x v="2"/>
    <x v="1"/>
    <n v="-44868"/>
    <n v="-2"/>
    <n v="-8"/>
    <n v="-8"/>
  </r>
  <r>
    <x v="276"/>
    <x v="276"/>
    <n v="506072"/>
    <n v="14503"/>
    <x v="1"/>
    <n v="10"/>
    <x v="10"/>
    <n v="4"/>
    <n v="2"/>
    <x v="3"/>
    <x v="1"/>
    <n v="-35564"/>
    <n v="-2"/>
    <n v="-8"/>
    <n v="-8"/>
  </r>
  <r>
    <x v="277"/>
    <x v="277"/>
    <n v="557939"/>
    <n v="15986"/>
    <x v="1"/>
    <n v="10"/>
    <x v="10"/>
    <n v="4"/>
    <n v="3"/>
    <x v="4"/>
    <x v="1"/>
    <n v="-39246"/>
    <n v="-2"/>
    <n v="-8"/>
    <n v="-8"/>
  </r>
  <r>
    <x v="278"/>
    <x v="278"/>
    <n v="705891"/>
    <n v="20223"/>
    <x v="1"/>
    <n v="10"/>
    <x v="10"/>
    <n v="4"/>
    <n v="4"/>
    <x v="5"/>
    <x v="1"/>
    <n v="-49645"/>
    <n v="-2"/>
    <n v="-8"/>
    <n v="-8"/>
  </r>
  <r>
    <x v="279"/>
    <x v="279"/>
    <n v="301280"/>
    <n v="8631"/>
    <x v="1"/>
    <n v="10"/>
    <x v="10"/>
    <n v="4"/>
    <n v="5"/>
    <x v="6"/>
    <x v="1"/>
    <n v="-21225"/>
    <n v="-2"/>
    <n v="-8"/>
    <n v="-8"/>
  </r>
  <r>
    <x v="280"/>
    <x v="280"/>
    <n v="404179"/>
    <n v="11579"/>
    <x v="1"/>
    <n v="10"/>
    <x v="10"/>
    <n v="4"/>
    <n v="6"/>
    <x v="0"/>
    <x v="1"/>
    <n v="-28531"/>
    <n v="-2"/>
    <n v="-8"/>
    <n v="-8"/>
  </r>
  <r>
    <x v="281"/>
    <x v="281"/>
    <n v="74252"/>
    <n v="2127"/>
    <x v="1"/>
    <n v="10"/>
    <x v="10"/>
    <n v="4"/>
    <n v="7"/>
    <x v="1"/>
    <x v="6"/>
    <n v="3860"/>
    <n v="2"/>
    <n v="5"/>
    <n v="5"/>
  </r>
  <r>
    <x v="282"/>
    <x v="282"/>
    <n v="67142"/>
    <n v="1923"/>
    <x v="1"/>
    <n v="10"/>
    <x v="10"/>
    <n v="4"/>
    <n v="8"/>
    <x v="2"/>
    <x v="6"/>
    <n v="3367"/>
    <n v="2"/>
    <n v="5"/>
    <n v="5"/>
  </r>
  <r>
    <x v="283"/>
    <x v="283"/>
    <n v="98066"/>
    <n v="2809"/>
    <x v="1"/>
    <n v="10"/>
    <x v="10"/>
    <n v="4"/>
    <n v="9"/>
    <x v="3"/>
    <x v="6"/>
    <n v="5215"/>
    <n v="2"/>
    <n v="5"/>
    <n v="5"/>
  </r>
  <r>
    <x v="284"/>
    <x v="284"/>
    <n v="170758"/>
    <n v="4891"/>
    <x v="1"/>
    <n v="10"/>
    <x v="10"/>
    <n v="4"/>
    <n v="10"/>
    <x v="4"/>
    <x v="6"/>
    <n v="9084"/>
    <n v="2"/>
    <n v="5"/>
    <n v="5"/>
  </r>
  <r>
    <x v="285"/>
    <x v="285"/>
    <n v="131192"/>
    <n v="3758"/>
    <x v="1"/>
    <n v="10"/>
    <x v="10"/>
    <n v="4"/>
    <n v="11"/>
    <x v="5"/>
    <x v="6"/>
    <n v="6846"/>
    <n v="2"/>
    <n v="5"/>
    <n v="5"/>
  </r>
  <r>
    <x v="286"/>
    <x v="286"/>
    <n v="57992"/>
    <n v="1661"/>
    <x v="1"/>
    <n v="10"/>
    <x v="10"/>
    <n v="4"/>
    <n v="12"/>
    <x v="6"/>
    <x v="6"/>
    <n v="3045"/>
    <n v="2"/>
    <n v="5"/>
    <n v="5"/>
  </r>
  <r>
    <x v="287"/>
    <x v="287"/>
    <n v="82392"/>
    <n v="2360"/>
    <x v="1"/>
    <n v="10"/>
    <x v="10"/>
    <n v="4"/>
    <n v="13"/>
    <x v="0"/>
    <x v="6"/>
    <n v="4407"/>
    <n v="2"/>
    <n v="5"/>
    <n v="5"/>
  </r>
  <r>
    <x v="288"/>
    <x v="288"/>
    <n v="66314"/>
    <n v="1894"/>
    <x v="1"/>
    <n v="10"/>
    <x v="10"/>
    <n v="4"/>
    <n v="14"/>
    <x v="1"/>
    <x v="6"/>
    <n v="3257"/>
    <n v="2"/>
    <n v="5"/>
    <n v="5"/>
  </r>
  <r>
    <x v="289"/>
    <x v="289"/>
    <n v="124398"/>
    <n v="3548"/>
    <x v="1"/>
    <n v="10"/>
    <x v="10"/>
    <n v="4"/>
    <n v="15"/>
    <x v="2"/>
    <x v="6"/>
    <n v="6078"/>
    <n v="2"/>
    <n v="5"/>
    <n v="5"/>
  </r>
  <r>
    <x v="290"/>
    <x v="290"/>
    <n v="91088"/>
    <n v="2591"/>
    <x v="1"/>
    <n v="10"/>
    <x v="10"/>
    <n v="4"/>
    <n v="16"/>
    <x v="3"/>
    <x v="6"/>
    <n v="4142"/>
    <n v="2"/>
    <n v="4"/>
    <n v="4"/>
  </r>
  <r>
    <x v="291"/>
    <x v="291"/>
    <n v="116950"/>
    <n v="3293"/>
    <x v="1"/>
    <n v="10"/>
    <x v="10"/>
    <n v="4"/>
    <n v="17"/>
    <x v="4"/>
    <x v="6"/>
    <n v="4108"/>
    <n v="1"/>
    <n v="3"/>
    <n v="3"/>
  </r>
  <r>
    <x v="292"/>
    <x v="292"/>
    <n v="164493"/>
    <n v="4611"/>
    <x v="1"/>
    <n v="10"/>
    <x v="10"/>
    <n v="4"/>
    <n v="18"/>
    <x v="5"/>
    <x v="6"/>
    <n v="5006"/>
    <n v="1"/>
    <n v="3"/>
    <n v="3"/>
  </r>
  <r>
    <x v="293"/>
    <x v="293"/>
    <n v="87911"/>
    <n v="2468"/>
    <x v="1"/>
    <n v="10"/>
    <x v="10"/>
    <n v="4"/>
    <n v="19"/>
    <x v="6"/>
    <x v="6"/>
    <n v="2781"/>
    <n v="1"/>
    <n v="3"/>
    <n v="3"/>
  </r>
  <r>
    <x v="294"/>
    <x v="294"/>
    <n v="98871"/>
    <n v="2773"/>
    <x v="1"/>
    <n v="10"/>
    <x v="10"/>
    <n v="4"/>
    <n v="20"/>
    <x v="0"/>
    <x v="6"/>
    <n v="2853"/>
    <n v="1"/>
    <n v="3"/>
    <n v="3"/>
  </r>
  <r>
    <x v="295"/>
    <x v="295"/>
    <n v="100424"/>
    <n v="2815"/>
    <x v="1"/>
    <n v="10"/>
    <x v="10"/>
    <n v="4"/>
    <n v="21"/>
    <x v="1"/>
    <x v="6"/>
    <n v="2972"/>
    <n v="1"/>
    <n v="3"/>
    <n v="3"/>
  </r>
  <r>
    <x v="296"/>
    <x v="296"/>
    <n v="96512"/>
    <n v="2701"/>
    <x v="1"/>
    <n v="10"/>
    <x v="10"/>
    <n v="4"/>
    <n v="22"/>
    <x v="2"/>
    <x v="6"/>
    <n v="2564"/>
    <n v="1"/>
    <n v="3"/>
    <n v="3"/>
  </r>
  <r>
    <x v="297"/>
    <x v="297"/>
    <n v="94764"/>
    <n v="2651"/>
    <x v="1"/>
    <n v="10"/>
    <x v="10"/>
    <n v="4"/>
    <n v="23"/>
    <x v="3"/>
    <x v="6"/>
    <n v="2712"/>
    <n v="1"/>
    <n v="3"/>
    <n v="3"/>
  </r>
  <r>
    <x v="298"/>
    <x v="298"/>
    <n v="241961"/>
    <n v="6781"/>
    <x v="1"/>
    <n v="10"/>
    <x v="10"/>
    <n v="4"/>
    <n v="24"/>
    <x v="4"/>
    <x v="6"/>
    <n v="7014"/>
    <n v="1"/>
    <n v="3"/>
    <n v="3"/>
  </r>
  <r>
    <x v="299"/>
    <x v="299"/>
    <n v="294130"/>
    <n v="8249"/>
    <x v="1"/>
    <n v="10"/>
    <x v="10"/>
    <n v="4"/>
    <n v="25"/>
    <x v="5"/>
    <x v="6"/>
    <n v="8592"/>
    <n v="1"/>
    <n v="3"/>
    <n v="3"/>
  </r>
  <r>
    <x v="300"/>
    <x v="300"/>
    <n v="124739"/>
    <n v="3502"/>
    <x v="1"/>
    <n v="10"/>
    <x v="10"/>
    <n v="4"/>
    <n v="26"/>
    <x v="6"/>
    <x v="6"/>
    <n v="3781"/>
    <n v="1"/>
    <n v="3"/>
    <n v="3"/>
  </r>
  <r>
    <x v="301"/>
    <x v="301"/>
    <n v="140652"/>
    <n v="3949"/>
    <x v="1"/>
    <n v="10"/>
    <x v="10"/>
    <n v="4"/>
    <n v="27"/>
    <x v="0"/>
    <x v="6"/>
    <n v="4533"/>
    <n v="1"/>
    <n v="3"/>
    <n v="3"/>
  </r>
  <r>
    <x v="302"/>
    <x v="302"/>
    <n v="87067"/>
    <n v="2435"/>
    <x v="1"/>
    <n v="10"/>
    <x v="10"/>
    <n v="4"/>
    <n v="28"/>
    <x v="1"/>
    <x v="6"/>
    <n v="2461"/>
    <n v="1"/>
    <n v="3"/>
    <n v="3"/>
  </r>
  <r>
    <x v="303"/>
    <x v="303"/>
    <n v="80113"/>
    <n v="2232"/>
    <x v="1"/>
    <n v="10"/>
    <x v="10"/>
    <n v="4"/>
    <n v="29"/>
    <x v="2"/>
    <x v="6"/>
    <n v="1879"/>
    <n v="1"/>
    <n v="2"/>
    <n v="2"/>
  </r>
  <r>
    <x v="304"/>
    <x v="304"/>
    <n v="68293"/>
    <n v="1898"/>
    <x v="1"/>
    <n v="10"/>
    <x v="10"/>
    <n v="4"/>
    <n v="30"/>
    <x v="3"/>
    <x v="6"/>
    <n v="1411"/>
    <n v="1"/>
    <n v="2"/>
    <n v="2"/>
  </r>
  <r>
    <x v="305"/>
    <x v="305"/>
    <n v="163320"/>
    <n v="4537"/>
    <x v="1"/>
    <n v="10"/>
    <x v="10"/>
    <n v="4"/>
    <n v="31"/>
    <x v="4"/>
    <x v="6"/>
    <n v="3333"/>
    <n v="1"/>
    <n v="2"/>
    <n v="2"/>
  </r>
  <r>
    <x v="306"/>
    <x v="306"/>
    <n v="242639"/>
    <n v="6730"/>
    <x v="1"/>
    <n v="11"/>
    <x v="11"/>
    <n v="4"/>
    <n v="1"/>
    <x v="5"/>
    <x v="6"/>
    <n v="4814"/>
    <n v="1"/>
    <n v="2"/>
    <n v="2"/>
  </r>
  <r>
    <x v="307"/>
    <x v="307"/>
    <n v="145646"/>
    <n v="4038"/>
    <x v="1"/>
    <n v="11"/>
    <x v="11"/>
    <n v="4"/>
    <n v="2"/>
    <x v="6"/>
    <x v="6"/>
    <n v="2830"/>
    <n v="1"/>
    <n v="2"/>
    <n v="2"/>
  </r>
  <r>
    <x v="308"/>
    <x v="308"/>
    <n v="201281"/>
    <n v="5581"/>
    <x v="1"/>
    <n v="11"/>
    <x v="11"/>
    <n v="4"/>
    <n v="3"/>
    <x v="0"/>
    <x v="6"/>
    <n v="4088"/>
    <n v="1"/>
    <n v="2"/>
    <n v="2"/>
  </r>
  <r>
    <x v="309"/>
    <x v="309"/>
    <n v="90949"/>
    <n v="2519"/>
    <x v="1"/>
    <n v="11"/>
    <x v="11"/>
    <n v="4"/>
    <n v="4"/>
    <x v="1"/>
    <x v="7"/>
    <n v="8295"/>
    <n v="3"/>
    <n v="8"/>
    <n v="8"/>
  </r>
  <r>
    <x v="310"/>
    <x v="310"/>
    <n v="67873"/>
    <n v="1847"/>
    <x v="1"/>
    <n v="11"/>
    <x v="11"/>
    <n v="4"/>
    <n v="5"/>
    <x v="2"/>
    <x v="7"/>
    <n v="4884"/>
    <n v="3"/>
    <n v="7"/>
    <n v="7"/>
  </r>
  <r>
    <x v="311"/>
    <x v="311"/>
    <n v="84486"/>
    <n v="2309"/>
    <x v="1"/>
    <n v="11"/>
    <x v="11"/>
    <n v="4"/>
    <n v="6"/>
    <x v="3"/>
    <x v="8"/>
    <n v="2381"/>
    <n v="1"/>
    <n v="3"/>
    <n v="3"/>
  </r>
  <r>
    <x v="312"/>
    <x v="312"/>
    <n v="136539"/>
    <n v="3722"/>
    <x v="1"/>
    <n v="11"/>
    <x v="11"/>
    <n v="4"/>
    <n v="7"/>
    <x v="4"/>
    <x v="8"/>
    <n v="3629"/>
    <n v="1"/>
    <n v="3"/>
    <n v="3"/>
  </r>
  <r>
    <x v="313"/>
    <x v="313"/>
    <n v="156701"/>
    <n v="4268"/>
    <x v="1"/>
    <n v="11"/>
    <x v="11"/>
    <n v="4"/>
    <n v="8"/>
    <x v="5"/>
    <x v="8"/>
    <n v="4026"/>
    <n v="1"/>
    <n v="3"/>
    <n v="3"/>
  </r>
  <r>
    <x v="314"/>
    <x v="314"/>
    <n v="71994"/>
    <n v="1968"/>
    <x v="1"/>
    <n v="11"/>
    <x v="11"/>
    <n v="4"/>
    <n v="9"/>
    <x v="6"/>
    <x v="8"/>
    <n v="2121"/>
    <n v="1"/>
    <n v="3"/>
    <n v="3"/>
  </r>
  <r>
    <x v="315"/>
    <x v="315"/>
    <n v="73968"/>
    <n v="2016"/>
    <x v="1"/>
    <n v="11"/>
    <x v="11"/>
    <n v="4"/>
    <n v="10"/>
    <x v="0"/>
    <x v="8"/>
    <n v="2136"/>
    <n v="1"/>
    <n v="3"/>
    <n v="3"/>
  </r>
  <r>
    <x v="316"/>
    <x v="316"/>
    <n v="54997"/>
    <n v="1497"/>
    <x v="1"/>
    <n v="11"/>
    <x v="11"/>
    <n v="4"/>
    <n v="11"/>
    <x v="1"/>
    <x v="8"/>
    <n v="1306"/>
    <n v="1"/>
    <n v="2"/>
    <n v="2"/>
  </r>
  <r>
    <x v="317"/>
    <x v="317"/>
    <n v="48290"/>
    <n v="1314"/>
    <x v="1"/>
    <n v="11"/>
    <x v="11"/>
    <n v="4"/>
    <n v="12"/>
    <x v="2"/>
    <x v="8"/>
    <n v="1147"/>
    <n v="1"/>
    <n v="2"/>
    <n v="2"/>
  </r>
  <r>
    <x v="318"/>
    <x v="318"/>
    <n v="53997"/>
    <n v="1466"/>
    <x v="1"/>
    <n v="11"/>
    <x v="11"/>
    <n v="4"/>
    <n v="13"/>
    <x v="3"/>
    <x v="8"/>
    <n v="1036"/>
    <n v="1"/>
    <n v="2"/>
    <n v="2"/>
  </r>
  <r>
    <x v="319"/>
    <x v="319"/>
    <n v="146995"/>
    <n v="3984"/>
    <x v="1"/>
    <n v="11"/>
    <x v="11"/>
    <n v="4"/>
    <n v="14"/>
    <x v="4"/>
    <x v="8"/>
    <n v="2813"/>
    <n v="1"/>
    <n v="2"/>
    <n v="2"/>
  </r>
  <r>
    <x v="320"/>
    <x v="320"/>
    <n v="176898"/>
    <n v="4802"/>
    <x v="1"/>
    <n v="11"/>
    <x v="11"/>
    <n v="4"/>
    <n v="15"/>
    <x v="5"/>
    <x v="8"/>
    <n v="3787"/>
    <n v="1"/>
    <n v="2"/>
    <n v="2"/>
  </r>
  <r>
    <x v="321"/>
    <x v="321"/>
    <n v="73906"/>
    <n v="2017"/>
    <x v="1"/>
    <n v="11"/>
    <x v="11"/>
    <n v="4"/>
    <n v="16"/>
    <x v="6"/>
    <x v="8"/>
    <n v="1966"/>
    <n v="1"/>
    <n v="3"/>
    <n v="3"/>
  </r>
  <r>
    <x v="322"/>
    <x v="322"/>
    <n v="84419"/>
    <n v="2297"/>
    <x v="1"/>
    <n v="11"/>
    <x v="11"/>
    <n v="4"/>
    <n v="17"/>
    <x v="0"/>
    <x v="8"/>
    <n v="1895"/>
    <n v="1"/>
    <n v="2"/>
    <n v="2"/>
  </r>
  <r>
    <x v="323"/>
    <x v="323"/>
    <n v="61158"/>
    <n v="1665"/>
    <x v="1"/>
    <n v="11"/>
    <x v="11"/>
    <n v="4"/>
    <n v="18"/>
    <x v="1"/>
    <x v="8"/>
    <n v="1473"/>
    <n v="1"/>
    <n v="2"/>
    <n v="2"/>
  </r>
  <r>
    <x v="324"/>
    <x v="324"/>
    <n v="47410"/>
    <n v="1291"/>
    <x v="1"/>
    <n v="11"/>
    <x v="11"/>
    <n v="4"/>
    <n v="19"/>
    <x v="2"/>
    <x v="8"/>
    <n v="1120"/>
    <n v="1"/>
    <n v="2"/>
    <n v="2"/>
  </r>
  <r>
    <x v="325"/>
    <x v="325"/>
    <n v="50038"/>
    <n v="1361"/>
    <x v="1"/>
    <n v="11"/>
    <x v="11"/>
    <n v="4"/>
    <n v="20"/>
    <x v="3"/>
    <x v="8"/>
    <n v="1003"/>
    <n v="1"/>
    <n v="2"/>
    <n v="2"/>
  </r>
  <r>
    <x v="326"/>
    <x v="326"/>
    <n v="47192"/>
    <n v="1281"/>
    <x v="1"/>
    <n v="11"/>
    <x v="11"/>
    <n v="4"/>
    <n v="21"/>
    <x v="4"/>
    <x v="9"/>
    <n v="6781"/>
    <n v="5"/>
    <n v="13"/>
    <n v="13"/>
  </r>
  <r>
    <x v="327"/>
    <x v="327"/>
    <n v="41179"/>
    <n v="1122"/>
    <x v="1"/>
    <n v="11"/>
    <x v="11"/>
    <n v="4"/>
    <n v="22"/>
    <x v="5"/>
    <x v="9"/>
    <n v="6319"/>
    <n v="6"/>
    <n v="13"/>
    <n v="13"/>
  </r>
  <r>
    <x v="328"/>
    <x v="328"/>
    <n v="26893"/>
    <n v="737"/>
    <x v="1"/>
    <n v="11"/>
    <x v="11"/>
    <n v="4"/>
    <n v="23"/>
    <x v="6"/>
    <x v="9"/>
    <n v="4327"/>
    <n v="6"/>
    <n v="14"/>
    <n v="14"/>
  </r>
  <r>
    <x v="329"/>
    <x v="329"/>
    <n v="23516"/>
    <n v="641"/>
    <x v="1"/>
    <n v="11"/>
    <x v="11"/>
    <n v="4"/>
    <n v="24"/>
    <x v="0"/>
    <x v="9"/>
    <n v="3354"/>
    <n v="5"/>
    <n v="12"/>
    <n v="12"/>
  </r>
  <r>
    <x v="330"/>
    <x v="330"/>
    <n v="35674"/>
    <n v="968"/>
    <x v="1"/>
    <n v="11"/>
    <x v="11"/>
    <n v="4"/>
    <n v="25"/>
    <x v="1"/>
    <x v="9"/>
    <n v="4856"/>
    <n v="5"/>
    <n v="12"/>
    <n v="12"/>
  </r>
  <r>
    <x v="331"/>
    <x v="331"/>
    <n v="26055"/>
    <n v="709"/>
    <x v="1"/>
    <n v="11"/>
    <x v="11"/>
    <n v="4"/>
    <n v="26"/>
    <x v="2"/>
    <x v="10"/>
    <n v="4317"/>
    <n v="6"/>
    <n v="14"/>
    <n v="14"/>
  </r>
  <r>
    <x v="332"/>
    <x v="332"/>
    <n v="32720"/>
    <n v="880"/>
    <x v="1"/>
    <n v="11"/>
    <x v="11"/>
    <n v="4"/>
    <n v="27"/>
    <x v="3"/>
    <x v="10"/>
    <n v="5057"/>
    <n v="6"/>
    <n v="13"/>
    <n v="13"/>
  </r>
  <r>
    <x v="333"/>
    <x v="333"/>
    <n v="40653"/>
    <n v="1096"/>
    <x v="1"/>
    <n v="11"/>
    <x v="11"/>
    <n v="4"/>
    <n v="28"/>
    <x v="4"/>
    <x v="10"/>
    <n v="6166"/>
    <n v="6"/>
    <n v="13"/>
    <n v="13"/>
  </r>
  <r>
    <x v="334"/>
    <x v="334"/>
    <n v="79880"/>
    <n v="2068"/>
    <x v="1"/>
    <n v="11"/>
    <x v="11"/>
    <n v="4"/>
    <n v="29"/>
    <x v="5"/>
    <x v="10"/>
    <n v="8441"/>
    <n v="4"/>
    <n v="10"/>
    <n v="10"/>
  </r>
  <r>
    <x v="335"/>
    <x v="335"/>
    <n v="93178"/>
    <n v="2375"/>
    <x v="1"/>
    <n v="11"/>
    <x v="11"/>
    <n v="4"/>
    <n v="30"/>
    <x v="6"/>
    <x v="10"/>
    <n v="7860"/>
    <n v="3"/>
    <n v="8"/>
    <n v="8"/>
  </r>
  <r>
    <x v="336"/>
    <x v="336"/>
    <n v="97257"/>
    <n v="2492"/>
    <x v="1"/>
    <n v="12"/>
    <x v="0"/>
    <n v="4"/>
    <n v="1"/>
    <x v="0"/>
    <x v="9"/>
    <n v="7843"/>
    <n v="3"/>
    <n v="7"/>
    <n v="7"/>
  </r>
  <r>
    <x v="337"/>
    <x v="337"/>
    <n v="85533"/>
    <n v="2170"/>
    <x v="1"/>
    <n v="12"/>
    <x v="0"/>
    <n v="4"/>
    <n v="2"/>
    <x v="1"/>
    <x v="11"/>
    <n v="2686"/>
    <n v="1"/>
    <n v="3"/>
    <n v="3"/>
  </r>
  <r>
    <x v="338"/>
    <x v="338"/>
    <n v="69655"/>
    <n v="1784"/>
    <x v="1"/>
    <n v="12"/>
    <x v="0"/>
    <n v="4"/>
    <n v="3"/>
    <x v="2"/>
    <x v="12"/>
    <n v="1935"/>
    <n v="1"/>
    <n v="3"/>
    <n v="3"/>
  </r>
  <r>
    <x v="339"/>
    <x v="339"/>
    <n v="54503"/>
    <n v="1368"/>
    <x v="1"/>
    <n v="12"/>
    <x v="0"/>
    <n v="4"/>
    <n v="4"/>
    <x v="3"/>
    <x v="12"/>
    <n v="494"/>
    <n v="0"/>
    <n v="1"/>
    <n v="1"/>
  </r>
  <r>
    <x v="340"/>
    <x v="340"/>
    <n v="77619"/>
    <n v="1914"/>
    <x v="1"/>
    <n v="12"/>
    <x v="0"/>
    <n v="4"/>
    <n v="5"/>
    <x v="4"/>
    <x v="11"/>
    <n v="265"/>
    <n v="0"/>
    <n v="0"/>
    <n v="0"/>
  </r>
  <r>
    <x v="341"/>
    <x v="341"/>
    <n v="154999"/>
    <n v="3765"/>
    <x v="1"/>
    <n v="12"/>
    <x v="0"/>
    <n v="4"/>
    <n v="6"/>
    <x v="5"/>
    <x v="12"/>
    <n v="-4629"/>
    <n v="-1"/>
    <n v="-3"/>
    <n v="-3"/>
  </r>
  <r>
    <x v="342"/>
    <x v="342"/>
    <n v="111904"/>
    <n v="2712"/>
    <x v="1"/>
    <n v="12"/>
    <x v="0"/>
    <n v="4"/>
    <n v="7"/>
    <x v="6"/>
    <x v="7"/>
    <n v="-7228"/>
    <n v="-3"/>
    <n v="-7"/>
    <n v="-7"/>
  </r>
  <r>
    <x v="343"/>
    <x v="343"/>
    <n v="91082"/>
    <n v="2222"/>
    <x v="1"/>
    <n v="12"/>
    <x v="0"/>
    <n v="4"/>
    <n v="8"/>
    <x v="0"/>
    <x v="11"/>
    <n v="-960"/>
    <n v="0"/>
    <n v="-1"/>
    <n v="-1"/>
  </r>
  <r>
    <x v="344"/>
    <x v="344"/>
    <n v="77014"/>
    <n v="1861"/>
    <x v="1"/>
    <n v="12"/>
    <x v="0"/>
    <n v="4"/>
    <n v="9"/>
    <x v="1"/>
    <x v="11"/>
    <n v="-1589"/>
    <n v="-1"/>
    <n v="-2"/>
    <n v="-2"/>
  </r>
  <r>
    <x v="345"/>
    <x v="345"/>
    <n v="169349"/>
    <n v="4095"/>
    <x v="1"/>
    <n v="12"/>
    <x v="0"/>
    <n v="4"/>
    <n v="10"/>
    <x v="2"/>
    <x v="12"/>
    <n v="-7504"/>
    <n v="-2"/>
    <n v="-5"/>
    <n v="-5"/>
  </r>
  <r>
    <x v="346"/>
    <x v="346"/>
    <n v="171693"/>
    <n v="4157"/>
    <x v="1"/>
    <n v="12"/>
    <x v="0"/>
    <n v="4"/>
    <n v="11"/>
    <x v="3"/>
    <x v="8"/>
    <n v="-13090"/>
    <n v="-3"/>
    <n v="-8"/>
    <n v="-8"/>
  </r>
  <r>
    <x v="347"/>
    <x v="347"/>
    <n v="301236"/>
    <n v="7259"/>
    <x v="1"/>
    <n v="12"/>
    <x v="0"/>
    <n v="4"/>
    <n v="12"/>
    <x v="4"/>
    <x v="8"/>
    <n v="-22144"/>
    <n v="-3"/>
    <n v="-8"/>
    <n v="-8"/>
  </r>
  <r>
    <x v="348"/>
    <x v="348"/>
    <n v="402565"/>
    <n v="9654"/>
    <x v="1"/>
    <n v="12"/>
    <x v="0"/>
    <n v="4"/>
    <n v="13"/>
    <x v="5"/>
    <x v="8"/>
    <n v="-33214"/>
    <n v="-3"/>
    <n v="-9"/>
    <n v="-9"/>
  </r>
  <r>
    <x v="349"/>
    <x v="349"/>
    <n v="192327"/>
    <n v="4632"/>
    <x v="1"/>
    <n v="12"/>
    <x v="0"/>
    <n v="4"/>
    <n v="14"/>
    <x v="6"/>
    <x v="8"/>
    <n v="-14827"/>
    <n v="-3"/>
    <n v="-8"/>
    <n v="-8"/>
  </r>
  <r>
    <x v="350"/>
    <x v="350"/>
    <n v="304490"/>
    <n v="7341"/>
    <x v="1"/>
    <n v="12"/>
    <x v="0"/>
    <n v="4"/>
    <n v="15"/>
    <x v="0"/>
    <x v="8"/>
    <n v="-22243"/>
    <n v="-3"/>
    <n v="-8"/>
    <n v="-8"/>
  </r>
  <r>
    <x v="351"/>
    <x v="351"/>
    <n v="179571"/>
    <n v="4308"/>
    <x v="1"/>
    <n v="12"/>
    <x v="0"/>
    <n v="4"/>
    <n v="16"/>
    <x v="1"/>
    <x v="7"/>
    <n v="-13533"/>
    <n v="-3"/>
    <n v="-8"/>
    <n v="-8"/>
  </r>
  <r>
    <x v="352"/>
    <x v="352"/>
    <n v="161138"/>
    <n v="3865"/>
    <x v="1"/>
    <n v="12"/>
    <x v="0"/>
    <n v="4"/>
    <n v="17"/>
    <x v="2"/>
    <x v="7"/>
    <n v="-12227"/>
    <n v="-3"/>
    <n v="-8"/>
    <n v="-8"/>
  </r>
  <r>
    <x v="353"/>
    <x v="353"/>
    <n v="221436"/>
    <n v="5288"/>
    <x v="1"/>
    <n v="12"/>
    <x v="0"/>
    <n v="4"/>
    <n v="18"/>
    <x v="3"/>
    <x v="8"/>
    <n v="-19077"/>
    <n v="-4"/>
    <n v="-9"/>
    <n v="-9"/>
  </r>
  <r>
    <x v="354"/>
    <x v="354"/>
    <n v="299517"/>
    <n v="7141"/>
    <x v="1"/>
    <n v="12"/>
    <x v="0"/>
    <n v="4"/>
    <n v="19"/>
    <x v="4"/>
    <x v="8"/>
    <n v="-25173"/>
    <n v="-4"/>
    <n v="-9"/>
    <n v="-9"/>
  </r>
  <r>
    <x v="355"/>
    <x v="355"/>
    <n v="346378"/>
    <n v="8268"/>
    <x v="1"/>
    <n v="12"/>
    <x v="0"/>
    <n v="4"/>
    <n v="20"/>
    <x v="5"/>
    <x v="8"/>
    <n v="-30211"/>
    <n v="-4"/>
    <n v="-10"/>
    <n v="-10"/>
  </r>
  <r>
    <x v="356"/>
    <x v="356"/>
    <n v="190645"/>
    <n v="4541"/>
    <x v="1"/>
    <n v="12"/>
    <x v="0"/>
    <n v="4"/>
    <n v="21"/>
    <x v="6"/>
    <x v="8"/>
    <n v="-16811"/>
    <n v="-4"/>
    <n v="-10"/>
    <n v="-10"/>
  </r>
  <r>
    <x v="357"/>
    <x v="357"/>
    <n v="210189"/>
    <n v="5014"/>
    <x v="1"/>
    <n v="12"/>
    <x v="0"/>
    <n v="4"/>
    <n v="22"/>
    <x v="0"/>
    <x v="11"/>
    <n v="-5624"/>
    <n v="-1"/>
    <n v="-3"/>
    <n v="-3"/>
  </r>
  <r>
    <x v="358"/>
    <x v="358"/>
    <n v="326627"/>
    <n v="7778"/>
    <x v="1"/>
    <n v="12"/>
    <x v="0"/>
    <n v="4"/>
    <n v="23"/>
    <x v="1"/>
    <x v="11"/>
    <n v="-10232"/>
    <n v="-1"/>
    <n v="-3"/>
    <n v="-3"/>
  </r>
  <r>
    <x v="359"/>
    <x v="359"/>
    <n v="495909"/>
    <n v="11809"/>
    <x v="1"/>
    <n v="12"/>
    <x v="0"/>
    <n v="4"/>
    <n v="24"/>
    <x v="2"/>
    <x v="11"/>
    <n v="-9679"/>
    <n v="-1"/>
    <n v="-2"/>
    <n v="-2"/>
  </r>
  <r>
    <x v="360"/>
    <x v="360"/>
    <n v="140526"/>
    <n v="3344"/>
    <x v="1"/>
    <n v="12"/>
    <x v="0"/>
    <n v="4"/>
    <n v="25"/>
    <x v="3"/>
    <x v="11"/>
    <n v="-2839"/>
    <n v="-1"/>
    <n v="-2"/>
    <n v="-2"/>
  </r>
  <r>
    <x v="361"/>
    <x v="361"/>
    <n v="49028"/>
    <n v="1169"/>
    <x v="1"/>
    <n v="12"/>
    <x v="0"/>
    <n v="4"/>
    <n v="26"/>
    <x v="4"/>
    <x v="11"/>
    <n v="-925"/>
    <n v="-1"/>
    <n v="-2"/>
    <n v="-2"/>
  </r>
  <r>
    <x v="362"/>
    <x v="362"/>
    <n v="112384"/>
    <n v="2676"/>
    <x v="1"/>
    <n v="12"/>
    <x v="0"/>
    <n v="4"/>
    <n v="27"/>
    <x v="5"/>
    <x v="11"/>
    <n v="-2221"/>
    <n v="-1"/>
    <n v="-2"/>
    <n v="-2"/>
  </r>
  <r>
    <x v="363"/>
    <x v="363"/>
    <n v="70483"/>
    <n v="1677"/>
    <x v="1"/>
    <n v="12"/>
    <x v="0"/>
    <n v="4"/>
    <n v="28"/>
    <x v="6"/>
    <x v="11"/>
    <n v="-1431"/>
    <n v="-1"/>
    <n v="-2"/>
    <n v="-2"/>
  </r>
  <r>
    <x v="364"/>
    <x v="364"/>
    <n v="136003"/>
    <n v="3237"/>
    <x v="1"/>
    <n v="12"/>
    <x v="0"/>
    <n v="4"/>
    <n v="29"/>
    <x v="0"/>
    <x v="11"/>
    <n v="-2696"/>
    <n v="-1"/>
    <n v="-2"/>
    <n v="-2"/>
  </r>
  <r>
    <x v="365"/>
    <x v="365"/>
    <n v="235724"/>
    <n v="5607"/>
    <x v="1"/>
    <n v="12"/>
    <x v="0"/>
    <n v="4"/>
    <n v="30"/>
    <x v="1"/>
    <x v="7"/>
    <n v="-19334"/>
    <n v="-3"/>
    <n v="-9"/>
    <n v="-9"/>
  </r>
  <r>
    <x v="366"/>
    <x v="366"/>
    <n v="398013"/>
    <n v="9464"/>
    <x v="1"/>
    <n v="12"/>
    <x v="0"/>
    <n v="4"/>
    <n v="31"/>
    <x v="2"/>
    <x v="7"/>
    <n v="-32958"/>
    <n v="-3"/>
    <n v="-9"/>
    <n v="-9"/>
  </r>
  <r>
    <x v="367"/>
    <x v="367"/>
    <n v="122170"/>
    <n v="2905"/>
    <x v="2"/>
    <n v="1"/>
    <x v="1"/>
    <n v="1"/>
    <n v="1"/>
    <x v="3"/>
    <x v="7"/>
    <n v="-10009"/>
    <n v="-3"/>
    <n v="-9"/>
    <n v="-9"/>
  </r>
  <r>
    <x v="368"/>
    <x v="368"/>
    <n v="295019"/>
    <n v="7023"/>
    <x v="2"/>
    <n v="1"/>
    <x v="1"/>
    <n v="1"/>
    <n v="2"/>
    <x v="4"/>
    <x v="7"/>
    <n v="-23918"/>
    <n v="-3"/>
    <n v="-9"/>
    <n v="-9"/>
  </r>
  <r>
    <x v="369"/>
    <x v="369"/>
    <n v="267735"/>
    <n v="6371"/>
    <x v="2"/>
    <n v="1"/>
    <x v="1"/>
    <n v="1"/>
    <n v="3"/>
    <x v="5"/>
    <x v="7"/>
    <n v="-21921"/>
    <n v="-3"/>
    <n v="-9"/>
    <n v="-9"/>
  </r>
  <r>
    <x v="370"/>
    <x v="370"/>
    <n v="194427"/>
    <n v="4624"/>
    <x v="2"/>
    <n v="1"/>
    <x v="1"/>
    <n v="1"/>
    <n v="4"/>
    <x v="6"/>
    <x v="7"/>
    <n v="-16033"/>
    <n v="-3"/>
    <n v="-9"/>
    <n v="-9"/>
  </r>
  <r>
    <x v="371"/>
    <x v="371"/>
    <n v="239988"/>
    <n v="5717"/>
    <x v="2"/>
    <n v="1"/>
    <x v="1"/>
    <n v="1"/>
    <n v="5"/>
    <x v="0"/>
    <x v="7"/>
    <n v="-19544"/>
    <n v="-3"/>
    <n v="-9"/>
    <n v="-9"/>
  </r>
  <r>
    <x v="372"/>
    <x v="372"/>
    <n v="197329"/>
    <n v="4705"/>
    <x v="2"/>
    <n v="1"/>
    <x v="1"/>
    <n v="1"/>
    <n v="6"/>
    <x v="1"/>
    <x v="7"/>
    <n v="-15795"/>
    <n v="-3"/>
    <n v="-9"/>
    <n v="-9"/>
  </r>
  <r>
    <x v="373"/>
    <x v="373"/>
    <n v="84729"/>
    <n v="2020"/>
    <x v="2"/>
    <n v="1"/>
    <x v="1"/>
    <n v="1"/>
    <n v="7"/>
    <x v="2"/>
    <x v="11"/>
    <n v="-1552"/>
    <n v="-1"/>
    <n v="-2"/>
    <n v="-2"/>
  </r>
  <r>
    <x v="374"/>
    <x v="374"/>
    <n v="78468"/>
    <n v="1868"/>
    <x v="2"/>
    <n v="1"/>
    <x v="1"/>
    <n v="1"/>
    <n v="8"/>
    <x v="3"/>
    <x v="11"/>
    <n v="-1573"/>
    <n v="-1"/>
    <n v="-2"/>
    <n v="-2"/>
  </r>
  <r>
    <x v="375"/>
    <x v="375"/>
    <n v="126444"/>
    <n v="3008"/>
    <x v="2"/>
    <n v="1"/>
    <x v="1"/>
    <n v="1"/>
    <n v="9"/>
    <x v="4"/>
    <x v="11"/>
    <n v="-2585"/>
    <n v="-1"/>
    <n v="-2"/>
    <n v="-2"/>
  </r>
  <r>
    <x v="376"/>
    <x v="376"/>
    <n v="123393"/>
    <n v="2934"/>
    <x v="2"/>
    <n v="1"/>
    <x v="1"/>
    <n v="1"/>
    <n v="10"/>
    <x v="5"/>
    <x v="11"/>
    <n v="-2585"/>
    <n v="-1"/>
    <n v="-2"/>
    <n v="-2"/>
  </r>
  <r>
    <x v="377"/>
    <x v="377"/>
    <n v="71051"/>
    <n v="1690"/>
    <x v="2"/>
    <n v="1"/>
    <x v="1"/>
    <n v="1"/>
    <n v="11"/>
    <x v="6"/>
    <x v="11"/>
    <n v="-1454"/>
    <n v="-1"/>
    <n v="-2"/>
    <n v="-2"/>
  </r>
  <r>
    <x v="378"/>
    <x v="378"/>
    <n v="86468"/>
    <n v="2058"/>
    <x v="2"/>
    <n v="1"/>
    <x v="1"/>
    <n v="1"/>
    <n v="12"/>
    <x v="0"/>
    <x v="11"/>
    <n v="-1729"/>
    <n v="-1"/>
    <n v="-2"/>
    <n v="-2"/>
  </r>
  <r>
    <x v="379"/>
    <x v="379"/>
    <n v="65980"/>
    <n v="1570"/>
    <x v="2"/>
    <n v="1"/>
    <x v="1"/>
    <n v="1"/>
    <n v="13"/>
    <x v="1"/>
    <x v="11"/>
    <n v="-1326"/>
    <n v="-1"/>
    <n v="-2"/>
    <n v="-2"/>
  </r>
  <r>
    <x v="380"/>
    <x v="380"/>
    <n v="60703"/>
    <n v="1446"/>
    <x v="2"/>
    <n v="1"/>
    <x v="1"/>
    <n v="1"/>
    <n v="14"/>
    <x v="2"/>
    <x v="11"/>
    <n v="-1150"/>
    <n v="-1"/>
    <n v="-2"/>
    <n v="-2"/>
  </r>
  <r>
    <x v="381"/>
    <x v="381"/>
    <n v="80338"/>
    <n v="1921"/>
    <x v="2"/>
    <n v="1"/>
    <x v="1"/>
    <n v="1"/>
    <n v="15"/>
    <x v="3"/>
    <x v="11"/>
    <n v="-1257"/>
    <n v="-1"/>
    <n v="-2"/>
    <n v="-2"/>
  </r>
  <r>
    <x v="382"/>
    <x v="382"/>
    <n v="152031"/>
    <n v="3629"/>
    <x v="2"/>
    <n v="1"/>
    <x v="1"/>
    <n v="1"/>
    <n v="16"/>
    <x v="4"/>
    <x v="11"/>
    <n v="-2587"/>
    <n v="-1"/>
    <n v="-2"/>
    <n v="-2"/>
  </r>
  <r>
    <x v="383"/>
    <x v="383"/>
    <n v="173547"/>
    <n v="4144"/>
    <x v="2"/>
    <n v="1"/>
    <x v="1"/>
    <n v="1"/>
    <n v="17"/>
    <x v="5"/>
    <x v="11"/>
    <n v="-2923"/>
    <n v="-1"/>
    <n v="-2"/>
    <n v="-2"/>
  </r>
  <r>
    <x v="384"/>
    <x v="384"/>
    <n v="76004"/>
    <n v="1815"/>
    <x v="2"/>
    <n v="1"/>
    <x v="1"/>
    <n v="1"/>
    <n v="18"/>
    <x v="6"/>
    <x v="11"/>
    <n v="-1260"/>
    <n v="-1"/>
    <n v="-2"/>
    <n v="-2"/>
  </r>
  <r>
    <x v="385"/>
    <x v="385"/>
    <n v="91111"/>
    <n v="2189"/>
    <x v="2"/>
    <n v="1"/>
    <x v="1"/>
    <n v="1"/>
    <n v="19"/>
    <x v="0"/>
    <x v="11"/>
    <n v="-967"/>
    <n v="0"/>
    <n v="-1"/>
    <n v="-1"/>
  </r>
  <r>
    <x v="386"/>
    <x v="386"/>
    <n v="99134"/>
    <n v="2376"/>
    <x v="2"/>
    <n v="1"/>
    <x v="1"/>
    <n v="1"/>
    <n v="20"/>
    <x v="1"/>
    <x v="11"/>
    <n v="-1307"/>
    <n v="-1"/>
    <n v="-1"/>
    <n v="-1"/>
  </r>
  <r>
    <x v="387"/>
    <x v="387"/>
    <n v="64144"/>
    <n v="1525"/>
    <x v="2"/>
    <n v="1"/>
    <x v="1"/>
    <n v="1"/>
    <n v="21"/>
    <x v="2"/>
    <x v="11"/>
    <n v="-1348"/>
    <n v="-1"/>
    <n v="-2"/>
    <n v="-2"/>
  </r>
  <r>
    <x v="388"/>
    <x v="388"/>
    <n v="67952"/>
    <n v="1616"/>
    <x v="2"/>
    <n v="1"/>
    <x v="1"/>
    <n v="1"/>
    <n v="22"/>
    <x v="3"/>
    <x v="11"/>
    <n v="-1401"/>
    <n v="-1"/>
    <n v="-2"/>
    <n v="-2"/>
  </r>
  <r>
    <x v="389"/>
    <x v="389"/>
    <n v="158032"/>
    <n v="3757"/>
    <x v="2"/>
    <n v="1"/>
    <x v="1"/>
    <n v="1"/>
    <n v="23"/>
    <x v="4"/>
    <x v="11"/>
    <n v="-3361"/>
    <n v="-1"/>
    <n v="-2"/>
    <n v="-2"/>
  </r>
  <r>
    <x v="390"/>
    <x v="390"/>
    <n v="162082"/>
    <n v="3855"/>
    <x v="2"/>
    <n v="1"/>
    <x v="1"/>
    <n v="1"/>
    <n v="24"/>
    <x v="5"/>
    <x v="11"/>
    <n v="-3360"/>
    <n v="-1"/>
    <n v="-2"/>
    <n v="-2"/>
  </r>
  <r>
    <x v="391"/>
    <x v="391"/>
    <n v="79795"/>
    <n v="1897"/>
    <x v="2"/>
    <n v="1"/>
    <x v="1"/>
    <n v="1"/>
    <n v="25"/>
    <x v="6"/>
    <x v="11"/>
    <n v="-1703"/>
    <n v="-1"/>
    <n v="-2"/>
    <n v="-2"/>
  </r>
  <r>
    <x v="392"/>
    <x v="392"/>
    <n v="93808"/>
    <n v="2230"/>
    <x v="2"/>
    <n v="1"/>
    <x v="1"/>
    <n v="1"/>
    <n v="26"/>
    <x v="0"/>
    <x v="11"/>
    <n v="-1978"/>
    <n v="-1"/>
    <n v="-2"/>
    <n v="-2"/>
  </r>
  <r>
    <x v="393"/>
    <x v="393"/>
    <n v="78614"/>
    <n v="1870"/>
    <x v="2"/>
    <n v="1"/>
    <x v="1"/>
    <n v="1"/>
    <n v="27"/>
    <x v="1"/>
    <x v="11"/>
    <n v="-1622"/>
    <n v="-1"/>
    <n v="-2"/>
    <n v="-2"/>
  </r>
  <r>
    <x v="394"/>
    <x v="394"/>
    <n v="61194"/>
    <n v="1455"/>
    <x v="2"/>
    <n v="1"/>
    <x v="1"/>
    <n v="1"/>
    <n v="28"/>
    <x v="2"/>
    <x v="11"/>
    <n v="-1296"/>
    <n v="-1"/>
    <n v="-2"/>
    <n v="-2"/>
  </r>
  <r>
    <x v="395"/>
    <x v="395"/>
    <n v="58531"/>
    <n v="1392"/>
    <x v="2"/>
    <n v="1"/>
    <x v="1"/>
    <n v="1"/>
    <n v="29"/>
    <x v="3"/>
    <x v="11"/>
    <n v="-1221"/>
    <n v="-1"/>
    <n v="-2"/>
    <n v="-2"/>
  </r>
  <r>
    <x v="396"/>
    <x v="396"/>
    <n v="137222"/>
    <n v="3268"/>
    <x v="2"/>
    <n v="1"/>
    <x v="1"/>
    <n v="1"/>
    <n v="30"/>
    <x v="4"/>
    <x v="11"/>
    <n v="-2681"/>
    <n v="-1"/>
    <n v="-2"/>
    <n v="-2"/>
  </r>
  <r>
    <x v="397"/>
    <x v="397"/>
    <n v="203815"/>
    <n v="4862"/>
    <x v="2"/>
    <n v="1"/>
    <x v="1"/>
    <n v="1"/>
    <n v="31"/>
    <x v="5"/>
    <x v="11"/>
    <n v="-3621"/>
    <n v="-1"/>
    <n v="-2"/>
    <n v="-2"/>
  </r>
  <r>
    <x v="398"/>
    <x v="398"/>
    <n v="174652"/>
    <n v="4165"/>
    <x v="2"/>
    <n v="2"/>
    <x v="2"/>
    <n v="1"/>
    <n v="1"/>
    <x v="6"/>
    <x v="11"/>
    <n v="-3183"/>
    <n v="-1"/>
    <n v="-2"/>
    <n v="-2"/>
  </r>
  <r>
    <x v="399"/>
    <x v="399"/>
    <n v="154149"/>
    <n v="3685"/>
    <x v="2"/>
    <n v="2"/>
    <x v="2"/>
    <n v="1"/>
    <n v="2"/>
    <x v="0"/>
    <x v="11"/>
    <n v="-2411"/>
    <n v="-1"/>
    <n v="-2"/>
    <n v="-2"/>
  </r>
  <r>
    <x v="400"/>
    <x v="400"/>
    <n v="103635"/>
    <n v="2479"/>
    <x v="2"/>
    <n v="2"/>
    <x v="2"/>
    <n v="1"/>
    <n v="3"/>
    <x v="1"/>
    <x v="11"/>
    <n v="-1563"/>
    <n v="-1"/>
    <n v="-2"/>
    <n v="-2"/>
  </r>
  <r>
    <x v="401"/>
    <x v="401"/>
    <n v="83232"/>
    <n v="2005"/>
    <x v="2"/>
    <n v="2"/>
    <x v="2"/>
    <n v="1"/>
    <n v="4"/>
    <x v="2"/>
    <x v="11"/>
    <n v="-718"/>
    <n v="0"/>
    <n v="-1"/>
    <n v="-1"/>
  </r>
  <r>
    <x v="402"/>
    <x v="402"/>
    <n v="46407"/>
    <n v="1122"/>
    <x v="2"/>
    <n v="2"/>
    <x v="2"/>
    <n v="1"/>
    <n v="5"/>
    <x v="3"/>
    <x v="11"/>
    <n v="-196"/>
    <n v="0"/>
    <n v="0"/>
    <n v="0"/>
  </r>
  <r>
    <x v="403"/>
    <x v="403"/>
    <n v="85766"/>
    <n v="2082"/>
    <x v="2"/>
    <n v="2"/>
    <x v="2"/>
    <n v="1"/>
    <n v="6"/>
    <x v="4"/>
    <x v="11"/>
    <n v="-35"/>
    <n v="0"/>
    <n v="0"/>
    <n v="0"/>
  </r>
  <r>
    <x v="404"/>
    <x v="404"/>
    <n v="105663"/>
    <n v="2573"/>
    <x v="2"/>
    <n v="2"/>
    <x v="2"/>
    <n v="1"/>
    <n v="7"/>
    <x v="5"/>
    <x v="11"/>
    <n v="256"/>
    <n v="0"/>
    <n v="0"/>
    <n v="0"/>
  </r>
  <r>
    <x v="405"/>
    <x v="405"/>
    <n v="73046"/>
    <n v="1774"/>
    <x v="2"/>
    <n v="2"/>
    <x v="2"/>
    <n v="1"/>
    <n v="8"/>
    <x v="6"/>
    <x v="11"/>
    <n v="-5"/>
    <n v="0"/>
    <n v="0"/>
    <n v="0"/>
  </r>
  <r>
    <x v="406"/>
    <x v="406"/>
    <n v="97098"/>
    <n v="2378"/>
    <x v="2"/>
    <n v="2"/>
    <x v="2"/>
    <n v="1"/>
    <n v="9"/>
    <x v="0"/>
    <x v="11"/>
    <n v="811"/>
    <n v="0"/>
    <n v="1"/>
    <n v="1"/>
  </r>
  <r>
    <x v="407"/>
    <x v="407"/>
    <n v="148523"/>
    <n v="3677"/>
    <x v="2"/>
    <n v="2"/>
    <x v="2"/>
    <n v="1"/>
    <n v="10"/>
    <x v="1"/>
    <x v="8"/>
    <n v="-9855"/>
    <n v="-3"/>
    <n v="-7"/>
    <n v="-7"/>
  </r>
  <r>
    <x v="408"/>
    <x v="408"/>
    <n v="173662"/>
    <n v="4299"/>
    <x v="2"/>
    <n v="2"/>
    <x v="2"/>
    <n v="1"/>
    <n v="11"/>
    <x v="2"/>
    <x v="8"/>
    <n v="-11500"/>
    <n v="-3"/>
    <n v="-7"/>
    <n v="-7"/>
  </r>
  <r>
    <x v="409"/>
    <x v="409"/>
    <n v="147756"/>
    <n v="3674"/>
    <x v="2"/>
    <n v="2"/>
    <x v="2"/>
    <n v="1"/>
    <n v="12"/>
    <x v="3"/>
    <x v="8"/>
    <n v="-9236"/>
    <n v="-3"/>
    <n v="-7"/>
    <n v="-7"/>
  </r>
  <r>
    <x v="410"/>
    <x v="410"/>
    <n v="382447"/>
    <n v="9505"/>
    <x v="2"/>
    <n v="2"/>
    <x v="2"/>
    <n v="1"/>
    <n v="13"/>
    <x v="4"/>
    <x v="8"/>
    <n v="-23850"/>
    <n v="-3"/>
    <n v="-7"/>
    <n v="-7"/>
  </r>
  <r>
    <x v="411"/>
    <x v="411"/>
    <n v="451548"/>
    <n v="11237"/>
    <x v="2"/>
    <n v="2"/>
    <x v="2"/>
    <n v="1"/>
    <n v="14"/>
    <x v="5"/>
    <x v="8"/>
    <n v="-27538"/>
    <n v="-2"/>
    <n v="-6"/>
    <n v="-6"/>
  </r>
  <r>
    <x v="412"/>
    <x v="412"/>
    <n v="217066"/>
    <n v="5406"/>
    <x v="2"/>
    <n v="2"/>
    <x v="2"/>
    <n v="1"/>
    <n v="15"/>
    <x v="6"/>
    <x v="8"/>
    <n v="-13204"/>
    <n v="-2"/>
    <n v="-6"/>
    <n v="-6"/>
  </r>
  <r>
    <x v="413"/>
    <x v="413"/>
    <n v="234723"/>
    <n v="5846"/>
    <x v="2"/>
    <n v="2"/>
    <x v="2"/>
    <n v="1"/>
    <n v="16"/>
    <x v="0"/>
    <x v="8"/>
    <n v="-14217"/>
    <n v="-2"/>
    <n v="-6"/>
    <n v="-6"/>
  </r>
  <r>
    <x v="414"/>
    <x v="414"/>
    <n v="148698"/>
    <n v="3713"/>
    <x v="2"/>
    <n v="2"/>
    <x v="2"/>
    <n v="1"/>
    <n v="17"/>
    <x v="1"/>
    <x v="8"/>
    <n v="-8762"/>
    <n v="-2"/>
    <n v="-6"/>
    <n v="-6"/>
  </r>
  <r>
    <x v="415"/>
    <x v="415"/>
    <n v="170739"/>
    <n v="4270"/>
    <x v="2"/>
    <n v="2"/>
    <x v="2"/>
    <n v="1"/>
    <n v="18"/>
    <x v="2"/>
    <x v="8"/>
    <n v="-9675"/>
    <n v="-2"/>
    <n v="-6"/>
    <n v="-6"/>
  </r>
  <r>
    <x v="416"/>
    <x v="416"/>
    <n v="152824"/>
    <n v="3827"/>
    <x v="2"/>
    <n v="2"/>
    <x v="2"/>
    <n v="1"/>
    <n v="19"/>
    <x v="3"/>
    <x v="8"/>
    <n v="-8496"/>
    <n v="-2"/>
    <n v="-6"/>
    <n v="-6"/>
  </r>
  <r>
    <x v="417"/>
    <x v="417"/>
    <n v="310240"/>
    <n v="7770"/>
    <x v="2"/>
    <n v="2"/>
    <x v="2"/>
    <n v="1"/>
    <n v="20"/>
    <x v="4"/>
    <x v="8"/>
    <n v="-17169"/>
    <n v="-2"/>
    <n v="-6"/>
    <n v="-6"/>
  </r>
  <r>
    <x v="418"/>
    <x v="418"/>
    <n v="283430"/>
    <n v="7102"/>
    <x v="2"/>
    <n v="2"/>
    <x v="2"/>
    <n v="1"/>
    <n v="21"/>
    <x v="5"/>
    <x v="8"/>
    <n v="-15648"/>
    <n v="-2"/>
    <n v="-6"/>
    <n v="-6"/>
  </r>
  <r>
    <x v="419"/>
    <x v="419"/>
    <n v="144020"/>
    <n v="3608"/>
    <x v="2"/>
    <n v="2"/>
    <x v="2"/>
    <n v="1"/>
    <n v="22"/>
    <x v="6"/>
    <x v="8"/>
    <n v="-7967"/>
    <n v="-2"/>
    <n v="-6"/>
    <n v="-6"/>
  </r>
  <r>
    <x v="420"/>
    <x v="420"/>
    <n v="85731"/>
    <n v="2150"/>
    <x v="2"/>
    <n v="2"/>
    <x v="2"/>
    <n v="1"/>
    <n v="23"/>
    <x v="0"/>
    <x v="12"/>
    <n v="972"/>
    <n v="0"/>
    <n v="1"/>
    <n v="1"/>
  </r>
  <r>
    <x v="421"/>
    <x v="421"/>
    <n v="100868"/>
    <n v="2530"/>
    <x v="2"/>
    <n v="2"/>
    <x v="2"/>
    <n v="1"/>
    <n v="24"/>
    <x v="1"/>
    <x v="8"/>
    <n v="-5393"/>
    <n v="-2"/>
    <n v="-6"/>
    <n v="-6"/>
  </r>
  <r>
    <x v="422"/>
    <x v="422"/>
    <n v="209500"/>
    <n v="5253"/>
    <x v="2"/>
    <n v="2"/>
    <x v="2"/>
    <n v="1"/>
    <n v="25"/>
    <x v="2"/>
    <x v="8"/>
    <n v="-11068"/>
    <n v="-2"/>
    <n v="-6"/>
    <n v="-6"/>
  </r>
  <r>
    <x v="423"/>
    <x v="423"/>
    <n v="166305"/>
    <n v="4171"/>
    <x v="2"/>
    <n v="2"/>
    <x v="2"/>
    <n v="1"/>
    <n v="26"/>
    <x v="3"/>
    <x v="8"/>
    <n v="-9013"/>
    <n v="-2"/>
    <n v="-6"/>
    <n v="-6"/>
  </r>
  <r>
    <x v="424"/>
    <x v="424"/>
    <n v="324997"/>
    <n v="8156"/>
    <x v="2"/>
    <n v="2"/>
    <x v="2"/>
    <n v="1"/>
    <n v="27"/>
    <x v="4"/>
    <x v="8"/>
    <n v="-17457"/>
    <n v="-2"/>
    <n v="-6"/>
    <n v="-6"/>
  </r>
  <r>
    <x v="425"/>
    <x v="425"/>
    <n v="375031"/>
    <n v="9296"/>
    <x v="2"/>
    <n v="2"/>
    <x v="2"/>
    <n v="1"/>
    <n v="28"/>
    <x v="5"/>
    <x v="8"/>
    <n v="-24132"/>
    <n v="-3"/>
    <n v="-7"/>
    <n v="-7"/>
  </r>
  <r>
    <x v="426"/>
    <x v="426"/>
    <n v="276569"/>
    <n v="6803"/>
    <x v="2"/>
    <n v="3"/>
    <x v="3"/>
    <n v="1"/>
    <n v="1"/>
    <x v="6"/>
    <x v="8"/>
    <n v="-19868"/>
    <n v="-3"/>
    <n v="-8"/>
    <n v="-8"/>
  </r>
  <r>
    <x v="427"/>
    <x v="427"/>
    <n v="252710"/>
    <n v="6221"/>
    <x v="2"/>
    <n v="3"/>
    <x v="3"/>
    <n v="1"/>
    <n v="2"/>
    <x v="0"/>
    <x v="8"/>
    <n v="-18004"/>
    <n v="-3"/>
    <n v="-8"/>
    <n v="-8"/>
  </r>
  <r>
    <x v="428"/>
    <x v="428"/>
    <n v="268762"/>
    <n v="6611"/>
    <x v="2"/>
    <n v="3"/>
    <x v="3"/>
    <n v="1"/>
    <n v="3"/>
    <x v="1"/>
    <x v="8"/>
    <n v="-19381"/>
    <n v="-3"/>
    <n v="-8"/>
    <n v="-8"/>
  </r>
  <r>
    <x v="429"/>
    <x v="429"/>
    <n v="278826"/>
    <n v="6843"/>
    <x v="2"/>
    <n v="3"/>
    <x v="3"/>
    <n v="1"/>
    <n v="4"/>
    <x v="2"/>
    <x v="8"/>
    <n v="-20614"/>
    <n v="-3"/>
    <n v="-8"/>
    <n v="-8"/>
  </r>
  <r>
    <x v="430"/>
    <x v="430"/>
    <n v="157578"/>
    <n v="3858"/>
    <x v="2"/>
    <n v="3"/>
    <x v="3"/>
    <n v="1"/>
    <n v="5"/>
    <x v="3"/>
    <x v="8"/>
    <n v="-11602"/>
    <n v="-3"/>
    <n v="-8"/>
    <n v="-8"/>
  </r>
  <r>
    <x v="431"/>
    <x v="431"/>
    <n v="291365"/>
    <n v="7128"/>
    <x v="2"/>
    <n v="3"/>
    <x v="3"/>
    <n v="1"/>
    <n v="6"/>
    <x v="4"/>
    <x v="8"/>
    <n v="-22125"/>
    <n v="-3"/>
    <n v="-8"/>
    <n v="-8"/>
  </r>
  <r>
    <x v="432"/>
    <x v="432"/>
    <n v="332242"/>
    <n v="8127"/>
    <x v="2"/>
    <n v="3"/>
    <x v="3"/>
    <n v="1"/>
    <n v="7"/>
    <x v="5"/>
    <x v="8"/>
    <n v="-25322"/>
    <n v="-3"/>
    <n v="-8"/>
    <n v="-8"/>
  </r>
  <r>
    <x v="433"/>
    <x v="433"/>
    <n v="121395"/>
    <n v="2966"/>
    <x v="2"/>
    <n v="3"/>
    <x v="3"/>
    <n v="1"/>
    <n v="8"/>
    <x v="6"/>
    <x v="11"/>
    <n v="712"/>
    <n v="0"/>
    <n v="1"/>
    <n v="1"/>
  </r>
  <r>
    <x v="434"/>
    <x v="434"/>
    <n v="116861"/>
    <n v="2858"/>
    <x v="2"/>
    <n v="3"/>
    <x v="3"/>
    <n v="1"/>
    <n v="9"/>
    <x v="0"/>
    <x v="11"/>
    <n v="800"/>
    <n v="0"/>
    <n v="1"/>
    <n v="1"/>
  </r>
  <r>
    <x v="435"/>
    <x v="435"/>
    <n v="62074"/>
    <n v="1518"/>
    <x v="2"/>
    <n v="3"/>
    <x v="3"/>
    <n v="1"/>
    <n v="10"/>
    <x v="1"/>
    <x v="11"/>
    <n v="426"/>
    <n v="0"/>
    <n v="1"/>
    <n v="1"/>
  </r>
  <r>
    <x v="436"/>
    <x v="436"/>
    <n v="56638"/>
    <n v="1386"/>
    <x v="2"/>
    <n v="3"/>
    <x v="3"/>
    <n v="1"/>
    <n v="11"/>
    <x v="2"/>
    <x v="11"/>
    <n v="426"/>
    <n v="0"/>
    <n v="1"/>
    <n v="1"/>
  </r>
  <r>
    <x v="437"/>
    <x v="437"/>
    <n v="47682"/>
    <n v="1166"/>
    <x v="2"/>
    <n v="3"/>
    <x v="3"/>
    <n v="1"/>
    <n v="12"/>
    <x v="3"/>
    <x v="11"/>
    <n v="327"/>
    <n v="0"/>
    <n v="1"/>
    <n v="1"/>
  </r>
  <r>
    <x v="438"/>
    <x v="438"/>
    <n v="116681"/>
    <n v="2853"/>
    <x v="2"/>
    <n v="3"/>
    <x v="3"/>
    <n v="1"/>
    <n v="13"/>
    <x v="4"/>
    <x v="11"/>
    <n v="766"/>
    <n v="0"/>
    <n v="1"/>
    <n v="1"/>
  </r>
  <r>
    <x v="439"/>
    <x v="439"/>
    <n v="149574"/>
    <n v="3657"/>
    <x v="2"/>
    <n v="3"/>
    <x v="3"/>
    <n v="1"/>
    <n v="14"/>
    <x v="5"/>
    <x v="11"/>
    <n v="1018"/>
    <n v="0"/>
    <n v="1"/>
    <n v="1"/>
  </r>
  <r>
    <x v="440"/>
    <x v="440"/>
    <n v="66803"/>
    <n v="1631"/>
    <x v="2"/>
    <n v="3"/>
    <x v="3"/>
    <n v="1"/>
    <n v="15"/>
    <x v="6"/>
    <x v="11"/>
    <n v="349"/>
    <n v="0"/>
    <n v="1"/>
    <n v="1"/>
  </r>
  <r>
    <x v="441"/>
    <x v="441"/>
    <n v="80121"/>
    <n v="1959"/>
    <x v="2"/>
    <n v="3"/>
    <x v="3"/>
    <n v="1"/>
    <n v="16"/>
    <x v="0"/>
    <x v="11"/>
    <n v="514"/>
    <n v="0"/>
    <n v="1"/>
    <n v="1"/>
  </r>
  <r>
    <x v="442"/>
    <x v="442"/>
    <n v="50309"/>
    <n v="1230"/>
    <x v="2"/>
    <n v="3"/>
    <x v="3"/>
    <n v="1"/>
    <n v="17"/>
    <x v="1"/>
    <x v="11"/>
    <n v="361"/>
    <n v="0"/>
    <n v="1"/>
    <n v="1"/>
  </r>
  <r>
    <x v="443"/>
    <x v="443"/>
    <n v="48362"/>
    <n v="1182"/>
    <x v="2"/>
    <n v="3"/>
    <x v="3"/>
    <n v="1"/>
    <n v="18"/>
    <x v="2"/>
    <x v="11"/>
    <n v="287"/>
    <n v="0"/>
    <n v="1"/>
    <n v="1"/>
  </r>
  <r>
    <x v="444"/>
    <x v="444"/>
    <n v="42981"/>
    <n v="1050"/>
    <x v="2"/>
    <n v="3"/>
    <x v="3"/>
    <n v="1"/>
    <n v="19"/>
    <x v="3"/>
    <x v="11"/>
    <n v="232"/>
    <n v="0"/>
    <n v="1"/>
    <n v="1"/>
  </r>
  <r>
    <x v="445"/>
    <x v="445"/>
    <n v="96453"/>
    <n v="2353"/>
    <x v="2"/>
    <n v="3"/>
    <x v="3"/>
    <n v="1"/>
    <n v="20"/>
    <x v="4"/>
    <x v="11"/>
    <n v="428"/>
    <n v="0"/>
    <n v="0"/>
    <n v="0"/>
  </r>
  <r>
    <x v="446"/>
    <x v="446"/>
    <n v="120829"/>
    <n v="2947"/>
    <x v="2"/>
    <n v="3"/>
    <x v="3"/>
    <n v="1"/>
    <n v="21"/>
    <x v="5"/>
    <x v="11"/>
    <n v="532"/>
    <n v="0"/>
    <n v="0"/>
    <n v="0"/>
  </r>
  <r>
    <x v="447"/>
    <x v="447"/>
    <n v="66756"/>
    <n v="1626"/>
    <x v="2"/>
    <n v="3"/>
    <x v="3"/>
    <n v="1"/>
    <n v="22"/>
    <x v="6"/>
    <x v="11"/>
    <n v="198"/>
    <n v="0"/>
    <n v="0"/>
    <n v="0"/>
  </r>
  <r>
    <x v="448"/>
    <x v="448"/>
    <n v="81132"/>
    <n v="1976"/>
    <x v="2"/>
    <n v="3"/>
    <x v="3"/>
    <n v="1"/>
    <n v="23"/>
    <x v="0"/>
    <x v="11"/>
    <n v="210"/>
    <n v="0"/>
    <n v="0"/>
    <n v="0"/>
  </r>
  <r>
    <x v="449"/>
    <x v="449"/>
    <n v="136375"/>
    <n v="3312"/>
    <x v="2"/>
    <n v="3"/>
    <x v="3"/>
    <n v="1"/>
    <n v="24"/>
    <x v="1"/>
    <x v="8"/>
    <n v="-11314"/>
    <n v="-3"/>
    <n v="-9"/>
    <n v="-9"/>
  </r>
  <r>
    <x v="450"/>
    <x v="450"/>
    <n v="276195"/>
    <n v="6704"/>
    <x v="2"/>
    <n v="3"/>
    <x v="3"/>
    <n v="1"/>
    <n v="25"/>
    <x v="2"/>
    <x v="8"/>
    <n v="-22976"/>
    <n v="-3"/>
    <n v="-9"/>
    <n v="-9"/>
  </r>
  <r>
    <x v="451"/>
    <x v="451"/>
    <n v="250361"/>
    <n v="6077"/>
    <x v="2"/>
    <n v="3"/>
    <x v="3"/>
    <n v="1"/>
    <n v="26"/>
    <x v="3"/>
    <x v="8"/>
    <n v="-21177"/>
    <n v="-3"/>
    <n v="-9"/>
    <n v="-9"/>
  </r>
  <r>
    <x v="452"/>
    <x v="452"/>
    <n v="386465"/>
    <n v="9386"/>
    <x v="2"/>
    <n v="3"/>
    <x v="3"/>
    <n v="1"/>
    <n v="27"/>
    <x v="4"/>
    <x v="8"/>
    <n v="-32273"/>
    <n v="-3"/>
    <n v="-9"/>
    <n v="-9"/>
  </r>
  <r>
    <x v="453"/>
    <x v="453"/>
    <n v="501363"/>
    <n v="12181"/>
    <x v="2"/>
    <n v="3"/>
    <x v="3"/>
    <n v="1"/>
    <n v="28"/>
    <x v="5"/>
    <x v="8"/>
    <n v="-41878"/>
    <n v="-3"/>
    <n v="-9"/>
    <n v="-9"/>
  </r>
  <r>
    <x v="454"/>
    <x v="454"/>
    <n v="244360"/>
    <n v="5937"/>
    <x v="2"/>
    <n v="3"/>
    <x v="3"/>
    <n v="1"/>
    <n v="29"/>
    <x v="6"/>
    <x v="8"/>
    <n v="-20257"/>
    <n v="-3"/>
    <n v="-9"/>
    <n v="-9"/>
  </r>
  <r>
    <x v="455"/>
    <x v="455"/>
    <n v="234819"/>
    <n v="5706"/>
    <x v="2"/>
    <n v="3"/>
    <x v="3"/>
    <n v="1"/>
    <n v="30"/>
    <x v="0"/>
    <x v="8"/>
    <n v="-19616"/>
    <n v="-3"/>
    <n v="-9"/>
    <n v="-9"/>
  </r>
  <r>
    <x v="456"/>
    <x v="456"/>
    <n v="386989"/>
    <n v="9421"/>
    <x v="2"/>
    <n v="3"/>
    <x v="3"/>
    <n v="1"/>
    <n v="31"/>
    <x v="1"/>
    <x v="8"/>
    <n v="-31454"/>
    <n v="-3"/>
    <n v="-9"/>
    <n v="-9"/>
  </r>
  <r>
    <x v="457"/>
    <x v="457"/>
    <n v="542484"/>
    <n v="13207"/>
    <x v="2"/>
    <n v="4"/>
    <x v="4"/>
    <n v="2"/>
    <n v="1"/>
    <x v="2"/>
    <x v="8"/>
    <n v="-43589"/>
    <n v="-3"/>
    <n v="-9"/>
    <n v="-9"/>
  </r>
  <r>
    <x v="458"/>
    <x v="458"/>
    <n v="777522"/>
    <n v="18936"/>
    <x v="2"/>
    <n v="4"/>
    <x v="4"/>
    <n v="2"/>
    <n v="2"/>
    <x v="3"/>
    <x v="8"/>
    <n v="-62490"/>
    <n v="-3"/>
    <n v="-9"/>
    <n v="-9"/>
  </r>
  <r>
    <x v="459"/>
    <x v="459"/>
    <n v="554160"/>
    <n v="13503"/>
    <x v="2"/>
    <n v="4"/>
    <x v="4"/>
    <n v="2"/>
    <n v="3"/>
    <x v="4"/>
    <x v="8"/>
    <n v="-43871"/>
    <n v="-3"/>
    <n v="-9"/>
    <n v="-9"/>
  </r>
  <r>
    <x v="460"/>
    <x v="460"/>
    <n v="434873"/>
    <n v="10600"/>
    <x v="2"/>
    <n v="4"/>
    <x v="4"/>
    <n v="2"/>
    <n v="4"/>
    <x v="5"/>
    <x v="8"/>
    <n v="-34571"/>
    <n v="-3"/>
    <n v="-9"/>
    <n v="-9"/>
  </r>
  <r>
    <x v="461"/>
    <x v="461"/>
    <n v="147336"/>
    <n v="3591"/>
    <x v="2"/>
    <n v="4"/>
    <x v="4"/>
    <n v="2"/>
    <n v="5"/>
    <x v="6"/>
    <x v="8"/>
    <n v="-11758"/>
    <n v="-3"/>
    <n v="-9"/>
    <n v="-9"/>
  </r>
  <r>
    <x v="462"/>
    <x v="462"/>
    <n v="198405"/>
    <n v="4836"/>
    <x v="2"/>
    <n v="4"/>
    <x v="4"/>
    <n v="2"/>
    <n v="6"/>
    <x v="0"/>
    <x v="8"/>
    <n v="-15939"/>
    <n v="-3"/>
    <n v="-9"/>
    <n v="-9"/>
  </r>
  <r>
    <x v="463"/>
    <x v="463"/>
    <n v="178390"/>
    <n v="4348"/>
    <x v="2"/>
    <n v="4"/>
    <x v="4"/>
    <n v="2"/>
    <n v="7"/>
    <x v="1"/>
    <x v="11"/>
    <n v="-1576"/>
    <n v="0"/>
    <n v="-1"/>
    <n v="-1"/>
  </r>
  <r>
    <x v="464"/>
    <x v="464"/>
    <n v="100579"/>
    <n v="2451"/>
    <x v="2"/>
    <n v="4"/>
    <x v="4"/>
    <n v="2"/>
    <n v="8"/>
    <x v="2"/>
    <x v="11"/>
    <n v="339"/>
    <n v="0"/>
    <n v="0"/>
    <n v="0"/>
  </r>
  <r>
    <x v="465"/>
    <x v="465"/>
    <n v="74428"/>
    <n v="1814"/>
    <x v="2"/>
    <n v="4"/>
    <x v="4"/>
    <n v="2"/>
    <n v="9"/>
    <x v="3"/>
    <x v="11"/>
    <n v="263"/>
    <n v="0"/>
    <n v="0"/>
    <n v="0"/>
  </r>
  <r>
    <x v="466"/>
    <x v="466"/>
    <n v="113654"/>
    <n v="2770"/>
    <x v="2"/>
    <n v="4"/>
    <x v="4"/>
    <n v="2"/>
    <n v="10"/>
    <x v="4"/>
    <x v="11"/>
    <n v="413"/>
    <n v="0"/>
    <n v="0"/>
    <n v="0"/>
  </r>
  <r>
    <x v="467"/>
    <x v="467"/>
    <n v="126044"/>
    <n v="3072"/>
    <x v="2"/>
    <n v="4"/>
    <x v="4"/>
    <n v="2"/>
    <n v="11"/>
    <x v="5"/>
    <x v="11"/>
    <n v="464"/>
    <n v="0"/>
    <n v="0"/>
    <n v="0"/>
  </r>
  <r>
    <x v="468"/>
    <x v="468"/>
    <n v="79349"/>
    <n v="1934"/>
    <x v="2"/>
    <n v="4"/>
    <x v="4"/>
    <n v="2"/>
    <n v="12"/>
    <x v="6"/>
    <x v="11"/>
    <n v="299"/>
    <n v="0"/>
    <n v="0"/>
    <n v="0"/>
  </r>
  <r>
    <x v="469"/>
    <x v="469"/>
    <n v="82700"/>
    <n v="2019"/>
    <x v="2"/>
    <n v="4"/>
    <x v="4"/>
    <n v="2"/>
    <n v="13"/>
    <x v="0"/>
    <x v="11"/>
    <n v="437"/>
    <n v="0"/>
    <n v="1"/>
    <n v="1"/>
  </r>
  <r>
    <x v="470"/>
    <x v="470"/>
    <n v="39940"/>
    <n v="979"/>
    <x v="2"/>
    <n v="4"/>
    <x v="4"/>
    <n v="2"/>
    <n v="14"/>
    <x v="1"/>
    <x v="9"/>
    <n v="836"/>
    <n v="1"/>
    <n v="2"/>
    <n v="2"/>
  </r>
  <r>
    <x v="471"/>
    <x v="471"/>
    <n v="56970"/>
    <n v="1398"/>
    <x v="2"/>
    <n v="4"/>
    <x v="4"/>
    <n v="2"/>
    <n v="15"/>
    <x v="2"/>
    <x v="9"/>
    <n v="1309"/>
    <n v="1"/>
    <n v="2"/>
    <n v="2"/>
  </r>
  <r>
    <x v="472"/>
    <x v="472"/>
    <n v="48828"/>
    <n v="1198"/>
    <x v="2"/>
    <n v="4"/>
    <x v="4"/>
    <n v="2"/>
    <n v="16"/>
    <x v="3"/>
    <x v="9"/>
    <n v="1172"/>
    <n v="1"/>
    <n v="2"/>
    <n v="2"/>
  </r>
  <r>
    <x v="473"/>
    <x v="473"/>
    <n v="101409"/>
    <n v="2485"/>
    <x v="2"/>
    <n v="4"/>
    <x v="4"/>
    <n v="2"/>
    <n v="17"/>
    <x v="4"/>
    <x v="9"/>
    <n v="2503"/>
    <n v="1"/>
    <n v="2"/>
    <n v="2"/>
  </r>
  <r>
    <x v="474"/>
    <x v="474"/>
    <n v="129546"/>
    <n v="3172"/>
    <x v="2"/>
    <n v="4"/>
    <x v="4"/>
    <n v="2"/>
    <n v="18"/>
    <x v="5"/>
    <x v="9"/>
    <n v="3298"/>
    <n v="1"/>
    <n v="2"/>
    <n v="2"/>
  </r>
  <r>
    <x v="475"/>
    <x v="475"/>
    <n v="61213"/>
    <n v="1497"/>
    <x v="2"/>
    <n v="4"/>
    <x v="4"/>
    <n v="2"/>
    <n v="19"/>
    <x v="6"/>
    <x v="9"/>
    <n v="1573"/>
    <n v="1"/>
    <n v="3"/>
    <n v="3"/>
  </r>
  <r>
    <x v="476"/>
    <x v="476"/>
    <n v="55707"/>
    <n v="1365"/>
    <x v="2"/>
    <n v="4"/>
    <x v="4"/>
    <n v="2"/>
    <n v="20"/>
    <x v="0"/>
    <x v="9"/>
    <n v="1527"/>
    <n v="1"/>
    <n v="3"/>
    <n v="3"/>
  </r>
  <r>
    <x v="477"/>
    <x v="477"/>
    <n v="55172"/>
    <n v="1353"/>
    <x v="2"/>
    <n v="4"/>
    <x v="4"/>
    <n v="2"/>
    <n v="21"/>
    <x v="1"/>
    <x v="9"/>
    <n v="1702"/>
    <n v="1"/>
    <n v="3"/>
    <n v="3"/>
  </r>
  <r>
    <x v="478"/>
    <x v="478"/>
    <n v="140264"/>
    <n v="3439"/>
    <x v="2"/>
    <n v="4"/>
    <x v="4"/>
    <n v="2"/>
    <n v="22"/>
    <x v="2"/>
    <x v="7"/>
    <n v="-7526"/>
    <n v="-2"/>
    <n v="-6"/>
    <n v="-6"/>
  </r>
  <r>
    <x v="479"/>
    <x v="479"/>
    <n v="58446"/>
    <n v="1434"/>
    <x v="2"/>
    <n v="4"/>
    <x v="4"/>
    <n v="2"/>
    <n v="23"/>
    <x v="3"/>
    <x v="9"/>
    <n v="1864"/>
    <n v="1"/>
    <n v="3"/>
    <n v="3"/>
  </r>
  <r>
    <x v="480"/>
    <x v="480"/>
    <n v="362391"/>
    <n v="8892"/>
    <x v="2"/>
    <n v="4"/>
    <x v="4"/>
    <n v="2"/>
    <n v="24"/>
    <x v="4"/>
    <x v="7"/>
    <n v="-18804"/>
    <n v="-2"/>
    <n v="-5"/>
    <n v="-5"/>
  </r>
  <r>
    <x v="481"/>
    <x v="481"/>
    <n v="535306"/>
    <n v="13144"/>
    <x v="2"/>
    <n v="4"/>
    <x v="4"/>
    <n v="2"/>
    <n v="25"/>
    <x v="5"/>
    <x v="8"/>
    <n v="-38424"/>
    <n v="-3"/>
    <n v="-8"/>
    <n v="-8"/>
  </r>
  <r>
    <x v="482"/>
    <x v="482"/>
    <n v="210965"/>
    <n v="5179"/>
    <x v="2"/>
    <n v="4"/>
    <x v="4"/>
    <n v="2"/>
    <n v="26"/>
    <x v="6"/>
    <x v="7"/>
    <n v="-10595"/>
    <n v="-2"/>
    <n v="-5"/>
    <n v="-5"/>
  </r>
  <r>
    <x v="483"/>
    <x v="483"/>
    <n v="204053"/>
    <n v="5014"/>
    <x v="2"/>
    <n v="4"/>
    <x v="4"/>
    <n v="2"/>
    <n v="27"/>
    <x v="0"/>
    <x v="7"/>
    <n v="-10025"/>
    <n v="-2"/>
    <n v="-5"/>
    <n v="-5"/>
  </r>
  <r>
    <x v="484"/>
    <x v="484"/>
    <n v="200804"/>
    <n v="4936"/>
    <x v="2"/>
    <n v="4"/>
    <x v="4"/>
    <n v="2"/>
    <n v="28"/>
    <x v="1"/>
    <x v="7"/>
    <n v="-10243"/>
    <n v="-2"/>
    <n v="-5"/>
    <n v="-5"/>
  </r>
  <r>
    <x v="485"/>
    <x v="485"/>
    <n v="209484"/>
    <n v="5150"/>
    <x v="2"/>
    <n v="4"/>
    <x v="4"/>
    <n v="2"/>
    <n v="29"/>
    <x v="2"/>
    <x v="7"/>
    <n v="-10498"/>
    <n v="-2"/>
    <n v="-5"/>
    <n v="-5"/>
  </r>
  <r>
    <x v="486"/>
    <x v="486"/>
    <n v="406252"/>
    <n v="9986"/>
    <x v="2"/>
    <n v="4"/>
    <x v="4"/>
    <n v="2"/>
    <n v="30"/>
    <x v="3"/>
    <x v="7"/>
    <n v="-20769"/>
    <n v="-2"/>
    <n v="-5"/>
    <n v="-5"/>
  </r>
  <r>
    <x v="487"/>
    <x v="487"/>
    <n v="526207"/>
    <n v="12937"/>
    <x v="2"/>
    <n v="5"/>
    <x v="5"/>
    <n v="2"/>
    <n v="1"/>
    <x v="4"/>
    <x v="7"/>
    <n v="-26504"/>
    <n v="-2"/>
    <n v="-5"/>
    <n v="-5"/>
  </r>
  <r>
    <x v="488"/>
    <x v="488"/>
    <n v="496853"/>
    <n v="12217"/>
    <x v="2"/>
    <n v="5"/>
    <x v="5"/>
    <n v="2"/>
    <n v="2"/>
    <x v="5"/>
    <x v="8"/>
    <n v="-35186"/>
    <n v="-3"/>
    <n v="-8"/>
    <n v="-8"/>
  </r>
  <r>
    <x v="489"/>
    <x v="489"/>
    <n v="273280"/>
    <n v="6721"/>
    <x v="2"/>
    <n v="5"/>
    <x v="5"/>
    <n v="2"/>
    <n v="3"/>
    <x v="6"/>
    <x v="7"/>
    <n v="-13738"/>
    <n v="-2"/>
    <n v="-5"/>
    <n v="-5"/>
  </r>
  <r>
    <x v="490"/>
    <x v="490"/>
    <n v="336743"/>
    <n v="8283"/>
    <x v="2"/>
    <n v="5"/>
    <x v="5"/>
    <n v="2"/>
    <n v="4"/>
    <x v="0"/>
    <x v="7"/>
    <n v="-16433"/>
    <n v="-2"/>
    <n v="-5"/>
    <n v="-5"/>
  </r>
  <r>
    <x v="491"/>
    <x v="491"/>
    <n v="251701"/>
    <n v="6191"/>
    <x v="2"/>
    <n v="5"/>
    <x v="5"/>
    <n v="2"/>
    <n v="5"/>
    <x v="1"/>
    <x v="7"/>
    <n v="-11778"/>
    <n v="-2"/>
    <n v="-5"/>
    <n v="-5"/>
  </r>
  <r>
    <x v="492"/>
    <x v="492"/>
    <n v="242260"/>
    <n v="5959"/>
    <x v="2"/>
    <n v="5"/>
    <x v="5"/>
    <n v="2"/>
    <n v="6"/>
    <x v="2"/>
    <x v="8"/>
    <n v="-17266"/>
    <n v="-3"/>
    <n v="-8"/>
    <n v="-8"/>
  </r>
  <r>
    <x v="493"/>
    <x v="493"/>
    <n v="115769"/>
    <n v="2848"/>
    <x v="2"/>
    <n v="5"/>
    <x v="5"/>
    <n v="2"/>
    <n v="7"/>
    <x v="3"/>
    <x v="11"/>
    <n v="1429"/>
    <n v="1"/>
    <n v="1"/>
    <n v="1"/>
  </r>
  <r>
    <x v="494"/>
    <x v="494"/>
    <n v="355565"/>
    <n v="8748"/>
    <x v="2"/>
    <n v="5"/>
    <x v="5"/>
    <n v="2"/>
    <n v="8"/>
    <x v="4"/>
    <x v="8"/>
    <n v="-24976"/>
    <n v="-3"/>
    <n v="-8"/>
    <n v="-8"/>
  </r>
  <r>
    <x v="495"/>
    <x v="495"/>
    <n v="419827"/>
    <n v="10329"/>
    <x v="2"/>
    <n v="5"/>
    <x v="5"/>
    <n v="2"/>
    <n v="9"/>
    <x v="5"/>
    <x v="8"/>
    <n v="-29855"/>
    <n v="-3"/>
    <n v="-8"/>
    <n v="-8"/>
  </r>
  <r>
    <x v="496"/>
    <x v="496"/>
    <n v="179243"/>
    <n v="4410"/>
    <x v="2"/>
    <n v="5"/>
    <x v="5"/>
    <n v="2"/>
    <n v="10"/>
    <x v="6"/>
    <x v="8"/>
    <n v="-12707"/>
    <n v="-3"/>
    <n v="-8"/>
    <n v="-8"/>
  </r>
  <r>
    <x v="497"/>
    <x v="497"/>
    <n v="213676"/>
    <n v="5257"/>
    <x v="2"/>
    <n v="5"/>
    <x v="5"/>
    <n v="2"/>
    <n v="11"/>
    <x v="0"/>
    <x v="8"/>
    <n v="-15234"/>
    <n v="-3"/>
    <n v="-8"/>
    <n v="-8"/>
  </r>
  <r>
    <x v="498"/>
    <x v="498"/>
    <n v="208039"/>
    <n v="5118"/>
    <x v="2"/>
    <n v="5"/>
    <x v="5"/>
    <n v="2"/>
    <n v="12"/>
    <x v="1"/>
    <x v="8"/>
    <n v="-14857"/>
    <n v="-3"/>
    <n v="-8"/>
    <n v="-8"/>
  </r>
  <r>
    <x v="499"/>
    <x v="499"/>
    <n v="179222"/>
    <n v="4410"/>
    <x v="2"/>
    <n v="5"/>
    <x v="5"/>
    <n v="2"/>
    <n v="13"/>
    <x v="2"/>
    <x v="8"/>
    <n v="-12818"/>
    <n v="-3"/>
    <n v="-8"/>
    <n v="-8"/>
  </r>
  <r>
    <x v="500"/>
    <x v="500"/>
    <n v="160620"/>
    <n v="3952"/>
    <x v="2"/>
    <n v="5"/>
    <x v="5"/>
    <n v="2"/>
    <n v="14"/>
    <x v="3"/>
    <x v="8"/>
    <n v="-11442"/>
    <n v="-3"/>
    <n v="-8"/>
    <n v="-8"/>
  </r>
  <r>
    <x v="501"/>
    <x v="501"/>
    <n v="409812"/>
    <n v="10084"/>
    <x v="2"/>
    <n v="5"/>
    <x v="5"/>
    <n v="2"/>
    <n v="15"/>
    <x v="4"/>
    <x v="8"/>
    <n v="-29220"/>
    <n v="-3"/>
    <n v="-8"/>
    <n v="-8"/>
  </r>
  <r>
    <x v="502"/>
    <x v="502"/>
    <n v="445570"/>
    <n v="10964"/>
    <x v="2"/>
    <n v="5"/>
    <x v="5"/>
    <n v="2"/>
    <n v="16"/>
    <x v="5"/>
    <x v="8"/>
    <n v="-31870"/>
    <n v="-3"/>
    <n v="-8"/>
    <n v="-8"/>
  </r>
  <r>
    <x v="503"/>
    <x v="503"/>
    <n v="190812"/>
    <n v="4695"/>
    <x v="2"/>
    <n v="5"/>
    <x v="5"/>
    <n v="2"/>
    <n v="17"/>
    <x v="6"/>
    <x v="8"/>
    <n v="-13652"/>
    <n v="-3"/>
    <n v="-8"/>
    <n v="-8"/>
  </r>
  <r>
    <x v="504"/>
    <x v="504"/>
    <n v="211511"/>
    <n v="5205"/>
    <x v="2"/>
    <n v="5"/>
    <x v="5"/>
    <n v="2"/>
    <n v="18"/>
    <x v="0"/>
    <x v="8"/>
    <n v="-15090"/>
    <n v="-3"/>
    <n v="-8"/>
    <n v="-8"/>
  </r>
  <r>
    <x v="505"/>
    <x v="505"/>
    <n v="147846"/>
    <n v="3638"/>
    <x v="2"/>
    <n v="5"/>
    <x v="5"/>
    <n v="2"/>
    <n v="19"/>
    <x v="1"/>
    <x v="8"/>
    <n v="-9905"/>
    <n v="-3"/>
    <n v="-7"/>
    <n v="-7"/>
  </r>
  <r>
    <x v="506"/>
    <x v="506"/>
    <n v="178568"/>
    <n v="4394"/>
    <x v="2"/>
    <n v="5"/>
    <x v="5"/>
    <n v="2"/>
    <n v="20"/>
    <x v="2"/>
    <x v="8"/>
    <n v="-12392"/>
    <n v="-3"/>
    <n v="-7"/>
    <n v="-7"/>
  </r>
  <r>
    <x v="507"/>
    <x v="507"/>
    <n v="81763"/>
    <n v="2012"/>
    <x v="2"/>
    <n v="5"/>
    <x v="5"/>
    <n v="2"/>
    <n v="21"/>
    <x v="3"/>
    <x v="9"/>
    <n v="2841"/>
    <n v="1"/>
    <n v="3"/>
    <n v="3"/>
  </r>
  <r>
    <x v="508"/>
    <x v="508"/>
    <n v="346488"/>
    <n v="8526"/>
    <x v="2"/>
    <n v="5"/>
    <x v="5"/>
    <n v="2"/>
    <n v="22"/>
    <x v="4"/>
    <x v="8"/>
    <n v="-24667"/>
    <n v="-3"/>
    <n v="-8"/>
    <n v="-8"/>
  </r>
  <r>
    <x v="509"/>
    <x v="509"/>
    <n v="450936"/>
    <n v="11096"/>
    <x v="2"/>
    <n v="5"/>
    <x v="5"/>
    <n v="2"/>
    <n v="23"/>
    <x v="5"/>
    <x v="8"/>
    <n v="-32221"/>
    <n v="-3"/>
    <n v="-8"/>
    <n v="-8"/>
  </r>
  <r>
    <x v="510"/>
    <x v="510"/>
    <n v="182419"/>
    <n v="4489"/>
    <x v="2"/>
    <n v="5"/>
    <x v="5"/>
    <n v="2"/>
    <n v="24"/>
    <x v="6"/>
    <x v="8"/>
    <n v="-12878"/>
    <n v="-3"/>
    <n v="-8"/>
    <n v="-8"/>
  </r>
  <r>
    <x v="511"/>
    <x v="511"/>
    <n v="276174"/>
    <n v="6795"/>
    <x v="2"/>
    <n v="5"/>
    <x v="5"/>
    <n v="2"/>
    <n v="25"/>
    <x v="0"/>
    <x v="8"/>
    <n v="-19739"/>
    <n v="-3"/>
    <n v="-8"/>
    <n v="-8"/>
  </r>
  <r>
    <x v="512"/>
    <x v="512"/>
    <n v="214720"/>
    <n v="5283"/>
    <x v="2"/>
    <n v="5"/>
    <x v="5"/>
    <n v="2"/>
    <n v="26"/>
    <x v="1"/>
    <x v="8"/>
    <n v="-15334"/>
    <n v="-3"/>
    <n v="-8"/>
    <n v="-8"/>
  </r>
  <r>
    <x v="513"/>
    <x v="513"/>
    <n v="262251"/>
    <n v="6453"/>
    <x v="2"/>
    <n v="5"/>
    <x v="5"/>
    <n v="2"/>
    <n v="27"/>
    <x v="2"/>
    <x v="8"/>
    <n v="-18697"/>
    <n v="-3"/>
    <n v="-8"/>
    <n v="-8"/>
  </r>
  <r>
    <x v="514"/>
    <x v="514"/>
    <n v="234483"/>
    <n v="5770"/>
    <x v="2"/>
    <n v="5"/>
    <x v="5"/>
    <n v="2"/>
    <n v="28"/>
    <x v="3"/>
    <x v="8"/>
    <n v="-16737"/>
    <n v="-3"/>
    <n v="-8"/>
    <n v="-8"/>
  </r>
  <r>
    <x v="515"/>
    <x v="515"/>
    <n v="508265"/>
    <n v="12507"/>
    <x v="2"/>
    <n v="5"/>
    <x v="5"/>
    <n v="2"/>
    <n v="29"/>
    <x v="4"/>
    <x v="8"/>
    <n v="-36104"/>
    <n v="-3"/>
    <n v="-8"/>
    <n v="-8"/>
  </r>
  <r>
    <x v="516"/>
    <x v="516"/>
    <n v="588250"/>
    <n v="14475"/>
    <x v="2"/>
    <n v="5"/>
    <x v="5"/>
    <n v="2"/>
    <n v="30"/>
    <x v="5"/>
    <x v="8"/>
    <n v="-42115"/>
    <n v="-3"/>
    <n v="-8"/>
    <n v="-8"/>
  </r>
  <r>
    <x v="517"/>
    <x v="517"/>
    <n v="284829"/>
    <n v="7009"/>
    <x v="2"/>
    <n v="5"/>
    <x v="5"/>
    <n v="2"/>
    <n v="31"/>
    <x v="6"/>
    <x v="8"/>
    <n v="-20191"/>
    <n v="-3"/>
    <n v="-8"/>
    <n v="-8"/>
  </r>
  <r>
    <x v="518"/>
    <x v="518"/>
    <n v="474967"/>
    <n v="11688"/>
    <x v="2"/>
    <n v="6"/>
    <x v="6"/>
    <n v="2"/>
    <n v="1"/>
    <x v="0"/>
    <x v="8"/>
    <n v="-34061"/>
    <n v="-3"/>
    <n v="-8"/>
    <n v="-8"/>
  </r>
  <r>
    <x v="519"/>
    <x v="519"/>
    <n v="360169"/>
    <n v="8863"/>
    <x v="2"/>
    <n v="6"/>
    <x v="6"/>
    <n v="2"/>
    <n v="2"/>
    <x v="1"/>
    <x v="8"/>
    <n v="-25850"/>
    <n v="-3"/>
    <n v="-8"/>
    <n v="-8"/>
  </r>
  <r>
    <x v="520"/>
    <x v="520"/>
    <n v="290492"/>
    <n v="7148"/>
    <x v="2"/>
    <n v="6"/>
    <x v="6"/>
    <n v="2"/>
    <n v="3"/>
    <x v="2"/>
    <x v="8"/>
    <n v="-20656"/>
    <n v="-3"/>
    <n v="-8"/>
    <n v="-8"/>
  </r>
  <r>
    <x v="521"/>
    <x v="521"/>
    <n v="216429"/>
    <n v="5326"/>
    <x v="2"/>
    <n v="6"/>
    <x v="6"/>
    <n v="2"/>
    <n v="4"/>
    <x v="3"/>
    <x v="8"/>
    <n v="-15282"/>
    <n v="-3"/>
    <n v="-8"/>
    <n v="-8"/>
  </r>
  <r>
    <x v="522"/>
    <x v="522"/>
    <n v="315938"/>
    <n v="7775"/>
    <x v="2"/>
    <n v="6"/>
    <x v="6"/>
    <n v="2"/>
    <n v="5"/>
    <x v="4"/>
    <x v="8"/>
    <n v="-22477"/>
    <n v="-3"/>
    <n v="-8"/>
    <n v="-8"/>
  </r>
  <r>
    <x v="523"/>
    <x v="523"/>
    <n v="376095"/>
    <n v="9255"/>
    <x v="2"/>
    <n v="6"/>
    <x v="6"/>
    <n v="2"/>
    <n v="6"/>
    <x v="5"/>
    <x v="8"/>
    <n v="-26682"/>
    <n v="-3"/>
    <n v="-8"/>
    <n v="-8"/>
  </r>
  <r>
    <x v="524"/>
    <x v="524"/>
    <n v="193349"/>
    <n v="4758"/>
    <x v="2"/>
    <n v="6"/>
    <x v="6"/>
    <n v="2"/>
    <n v="7"/>
    <x v="6"/>
    <x v="8"/>
    <n v="-13746"/>
    <n v="-3"/>
    <n v="-8"/>
    <n v="-8"/>
  </r>
  <r>
    <x v="525"/>
    <x v="525"/>
    <n v="106166"/>
    <n v="2613"/>
    <x v="2"/>
    <n v="6"/>
    <x v="6"/>
    <n v="2"/>
    <n v="8"/>
    <x v="0"/>
    <x v="9"/>
    <n v="3644"/>
    <n v="1"/>
    <n v="3"/>
    <n v="3"/>
  </r>
  <r>
    <x v="526"/>
    <x v="526"/>
    <n v="74213"/>
    <n v="1830"/>
    <x v="2"/>
    <n v="6"/>
    <x v="6"/>
    <n v="2"/>
    <n v="9"/>
    <x v="1"/>
    <x v="9"/>
    <n v="2744"/>
    <n v="1"/>
    <n v="4"/>
    <n v="4"/>
  </r>
  <r>
    <x v="527"/>
    <x v="527"/>
    <n v="68669"/>
    <n v="1694"/>
    <x v="2"/>
    <n v="6"/>
    <x v="6"/>
    <n v="2"/>
    <n v="10"/>
    <x v="2"/>
    <x v="9"/>
    <n v="2530"/>
    <n v="1"/>
    <n v="4"/>
    <n v="4"/>
  </r>
  <r>
    <x v="528"/>
    <x v="528"/>
    <n v="66539"/>
    <n v="1642"/>
    <x v="2"/>
    <n v="6"/>
    <x v="6"/>
    <n v="2"/>
    <n v="11"/>
    <x v="3"/>
    <x v="9"/>
    <n v="2449"/>
    <n v="1"/>
    <n v="4"/>
    <n v="4"/>
  </r>
  <r>
    <x v="529"/>
    <x v="529"/>
    <n v="149423"/>
    <n v="3690"/>
    <x v="2"/>
    <n v="6"/>
    <x v="6"/>
    <n v="2"/>
    <n v="12"/>
    <x v="4"/>
    <x v="9"/>
    <n v="5734"/>
    <n v="2"/>
    <n v="4"/>
    <n v="4"/>
  </r>
  <r>
    <x v="530"/>
    <x v="530"/>
    <n v="178347"/>
    <n v="4404"/>
    <x v="2"/>
    <n v="6"/>
    <x v="6"/>
    <n v="2"/>
    <n v="13"/>
    <x v="5"/>
    <x v="9"/>
    <n v="6762"/>
    <n v="2"/>
    <n v="4"/>
    <n v="4"/>
  </r>
  <r>
    <x v="531"/>
    <x v="531"/>
    <n v="80660"/>
    <n v="1992"/>
    <x v="2"/>
    <n v="6"/>
    <x v="6"/>
    <n v="2"/>
    <n v="14"/>
    <x v="6"/>
    <x v="9"/>
    <n v="3120"/>
    <n v="2"/>
    <n v="4"/>
    <n v="4"/>
  </r>
  <r>
    <x v="532"/>
    <x v="532"/>
    <n v="143963"/>
    <n v="3557"/>
    <x v="2"/>
    <n v="6"/>
    <x v="6"/>
    <n v="2"/>
    <n v="15"/>
    <x v="0"/>
    <x v="9"/>
    <n v="5539"/>
    <n v="2"/>
    <n v="4"/>
    <n v="4"/>
  </r>
  <r>
    <x v="533"/>
    <x v="533"/>
    <n v="96810"/>
    <n v="2395"/>
    <x v="2"/>
    <n v="6"/>
    <x v="6"/>
    <n v="2"/>
    <n v="16"/>
    <x v="1"/>
    <x v="9"/>
    <n v="3667"/>
    <n v="2"/>
    <n v="4"/>
    <n v="4"/>
  </r>
  <r>
    <x v="534"/>
    <x v="534"/>
    <n v="85639"/>
    <n v="2120"/>
    <x v="2"/>
    <n v="6"/>
    <x v="6"/>
    <n v="2"/>
    <n v="17"/>
    <x v="2"/>
    <x v="9"/>
    <n v="3433"/>
    <n v="2"/>
    <n v="4"/>
    <n v="4"/>
  </r>
  <r>
    <x v="535"/>
    <x v="535"/>
    <n v="75674"/>
    <n v="1875"/>
    <x v="2"/>
    <n v="6"/>
    <x v="6"/>
    <n v="2"/>
    <n v="18"/>
    <x v="3"/>
    <x v="9"/>
    <n v="3073"/>
    <n v="2"/>
    <n v="4"/>
    <n v="4"/>
  </r>
  <r>
    <x v="536"/>
    <x v="536"/>
    <n v="136018"/>
    <n v="3376"/>
    <x v="2"/>
    <n v="6"/>
    <x v="6"/>
    <n v="2"/>
    <n v="19"/>
    <x v="4"/>
    <x v="9"/>
    <n v="5896"/>
    <n v="2"/>
    <n v="4"/>
    <n v="4"/>
  </r>
  <r>
    <x v="537"/>
    <x v="537"/>
    <n v="162288"/>
    <n v="4027"/>
    <x v="2"/>
    <n v="6"/>
    <x v="6"/>
    <n v="2"/>
    <n v="20"/>
    <x v="5"/>
    <x v="9"/>
    <n v="7016"/>
    <n v="2"/>
    <n v="4"/>
    <n v="4"/>
  </r>
  <r>
    <x v="538"/>
    <x v="538"/>
    <n v="85782"/>
    <n v="2128"/>
    <x v="2"/>
    <n v="6"/>
    <x v="6"/>
    <n v="2"/>
    <n v="21"/>
    <x v="6"/>
    <x v="9"/>
    <n v="3730"/>
    <n v="2"/>
    <n v="4"/>
    <n v="4"/>
  </r>
  <r>
    <x v="539"/>
    <x v="539"/>
    <n v="82427"/>
    <n v="2046"/>
    <x v="2"/>
    <n v="6"/>
    <x v="6"/>
    <n v="2"/>
    <n v="22"/>
    <x v="0"/>
    <x v="9"/>
    <n v="3557"/>
    <n v="2"/>
    <n v="4"/>
    <n v="4"/>
  </r>
  <r>
    <x v="540"/>
    <x v="540"/>
    <n v="62170"/>
    <n v="1546"/>
    <x v="2"/>
    <n v="6"/>
    <x v="6"/>
    <n v="2"/>
    <n v="23"/>
    <x v="1"/>
    <x v="9"/>
    <n v="2787"/>
    <n v="2"/>
    <n v="4"/>
    <n v="4"/>
  </r>
  <r>
    <x v="541"/>
    <x v="541"/>
    <n v="113428"/>
    <n v="2822"/>
    <x v="2"/>
    <n v="6"/>
    <x v="6"/>
    <n v="2"/>
    <n v="24"/>
    <x v="2"/>
    <x v="8"/>
    <n v="-6815"/>
    <n v="-2"/>
    <n v="-6"/>
    <n v="-6"/>
  </r>
  <r>
    <x v="542"/>
    <x v="542"/>
    <n v="195366"/>
    <n v="4865"/>
    <x v="2"/>
    <n v="6"/>
    <x v="6"/>
    <n v="2"/>
    <n v="25"/>
    <x v="3"/>
    <x v="8"/>
    <n v="-11522"/>
    <n v="-2"/>
    <n v="-6"/>
    <n v="-6"/>
  </r>
  <r>
    <x v="543"/>
    <x v="543"/>
    <n v="339242"/>
    <n v="8450"/>
    <x v="2"/>
    <n v="6"/>
    <x v="6"/>
    <n v="2"/>
    <n v="26"/>
    <x v="4"/>
    <x v="8"/>
    <n v="-19662"/>
    <n v="-2"/>
    <n v="-6"/>
    <n v="-6"/>
  </r>
  <r>
    <x v="544"/>
    <x v="544"/>
    <n v="392018"/>
    <n v="9770"/>
    <x v="2"/>
    <n v="6"/>
    <x v="6"/>
    <n v="2"/>
    <n v="27"/>
    <x v="5"/>
    <x v="8"/>
    <n v="-22772"/>
    <n v="-2"/>
    <n v="-6"/>
    <n v="-6"/>
  </r>
  <r>
    <x v="545"/>
    <x v="545"/>
    <n v="197095"/>
    <n v="4914"/>
    <x v="2"/>
    <n v="6"/>
    <x v="6"/>
    <n v="2"/>
    <n v="28"/>
    <x v="6"/>
    <x v="8"/>
    <n v="-11447"/>
    <n v="-2"/>
    <n v="-6"/>
    <n v="-6"/>
  </r>
  <r>
    <x v="546"/>
    <x v="546"/>
    <n v="175871"/>
    <n v="4385"/>
    <x v="2"/>
    <n v="6"/>
    <x v="6"/>
    <n v="2"/>
    <n v="29"/>
    <x v="0"/>
    <x v="8"/>
    <n v="-10313"/>
    <n v="-2"/>
    <n v="-6"/>
    <n v="-6"/>
  </r>
  <r>
    <x v="547"/>
    <x v="547"/>
    <n v="225679"/>
    <n v="5627"/>
    <x v="2"/>
    <n v="6"/>
    <x v="6"/>
    <n v="2"/>
    <n v="30"/>
    <x v="1"/>
    <x v="8"/>
    <n v="-13214"/>
    <n v="-2"/>
    <n v="-6"/>
    <n v="-6"/>
  </r>
  <r>
    <x v="548"/>
    <x v="548"/>
    <n v="324249"/>
    <n v="8086"/>
    <x v="2"/>
    <n v="7"/>
    <x v="7"/>
    <n v="3"/>
    <n v="1"/>
    <x v="2"/>
    <x v="8"/>
    <n v="-19017"/>
    <n v="-2"/>
    <n v="-6"/>
    <n v="-6"/>
  </r>
  <r>
    <x v="549"/>
    <x v="549"/>
    <n v="266062"/>
    <n v="6639"/>
    <x v="2"/>
    <n v="7"/>
    <x v="7"/>
    <n v="3"/>
    <n v="2"/>
    <x v="3"/>
    <x v="8"/>
    <n v="-15580"/>
    <n v="-2"/>
    <n v="-6"/>
    <n v="-6"/>
  </r>
  <r>
    <x v="550"/>
    <x v="550"/>
    <n v="284593"/>
    <n v="7104"/>
    <x v="2"/>
    <n v="7"/>
    <x v="7"/>
    <n v="3"/>
    <n v="3"/>
    <x v="4"/>
    <x v="8"/>
    <n v="-16183"/>
    <n v="-2"/>
    <n v="-6"/>
    <n v="-6"/>
  </r>
  <r>
    <x v="551"/>
    <x v="551"/>
    <n v="335025"/>
    <n v="8364"/>
    <x v="2"/>
    <n v="7"/>
    <x v="7"/>
    <n v="3"/>
    <n v="4"/>
    <x v="5"/>
    <x v="8"/>
    <n v="-18660"/>
    <n v="-2"/>
    <n v="-6"/>
    <n v="-6"/>
  </r>
  <r>
    <x v="552"/>
    <x v="552"/>
    <n v="165969"/>
    <n v="4146"/>
    <x v="2"/>
    <n v="7"/>
    <x v="7"/>
    <n v="3"/>
    <n v="5"/>
    <x v="6"/>
    <x v="8"/>
    <n v="-9096"/>
    <n v="-2"/>
    <n v="-6"/>
    <n v="-6"/>
  </r>
  <r>
    <x v="553"/>
    <x v="553"/>
    <n v="184189"/>
    <n v="4601"/>
    <x v="2"/>
    <n v="7"/>
    <x v="7"/>
    <n v="3"/>
    <n v="6"/>
    <x v="0"/>
    <x v="8"/>
    <n v="-10201"/>
    <n v="-2"/>
    <n v="-6"/>
    <n v="-6"/>
  </r>
  <r>
    <x v="554"/>
    <x v="554"/>
    <n v="143800"/>
    <n v="3593"/>
    <x v="2"/>
    <n v="7"/>
    <x v="7"/>
    <n v="3"/>
    <n v="7"/>
    <x v="1"/>
    <x v="8"/>
    <n v="-8046"/>
    <n v="-2"/>
    <n v="-6"/>
    <n v="-6"/>
  </r>
  <r>
    <x v="555"/>
    <x v="555"/>
    <n v="84589"/>
    <n v="2114"/>
    <x v="2"/>
    <n v="7"/>
    <x v="7"/>
    <n v="3"/>
    <n v="8"/>
    <x v="2"/>
    <x v="12"/>
    <n v="-162"/>
    <n v="0"/>
    <n v="0"/>
    <n v="0"/>
  </r>
  <r>
    <x v="556"/>
    <x v="556"/>
    <n v="71913"/>
    <n v="1797"/>
    <x v="2"/>
    <n v="7"/>
    <x v="7"/>
    <n v="3"/>
    <n v="9"/>
    <x v="3"/>
    <x v="7"/>
    <n v="-1098"/>
    <n v="-1"/>
    <n v="-2"/>
    <n v="-2"/>
  </r>
  <r>
    <x v="557"/>
    <x v="557"/>
    <n v="127885"/>
    <n v="3195"/>
    <x v="2"/>
    <n v="7"/>
    <x v="7"/>
    <n v="3"/>
    <n v="10"/>
    <x v="4"/>
    <x v="7"/>
    <n v="-1901"/>
    <n v="-1"/>
    <n v="-2"/>
    <n v="-2"/>
  </r>
  <r>
    <x v="558"/>
    <x v="558"/>
    <n v="143925"/>
    <n v="3595"/>
    <x v="2"/>
    <n v="7"/>
    <x v="7"/>
    <n v="3"/>
    <n v="11"/>
    <x v="5"/>
    <x v="12"/>
    <n v="-1546"/>
    <n v="0"/>
    <n v="-1"/>
    <n v="-1"/>
  </r>
  <r>
    <x v="559"/>
    <x v="559"/>
    <n v="58723"/>
    <n v="1467"/>
    <x v="2"/>
    <n v="7"/>
    <x v="7"/>
    <n v="3"/>
    <n v="12"/>
    <x v="6"/>
    <x v="7"/>
    <n v="-1295"/>
    <n v="-1"/>
    <n v="-2"/>
    <n v="-2"/>
  </r>
  <r>
    <x v="560"/>
    <x v="560"/>
    <n v="64690"/>
    <n v="1610"/>
    <x v="2"/>
    <n v="7"/>
    <x v="7"/>
    <n v="3"/>
    <n v="13"/>
    <x v="0"/>
    <x v="7"/>
    <n v="-1359"/>
    <n v="-1"/>
    <n v="-2"/>
    <n v="-2"/>
  </r>
  <r>
    <x v="561"/>
    <x v="561"/>
    <n v="52510"/>
    <n v="1307"/>
    <x v="2"/>
    <n v="7"/>
    <x v="7"/>
    <n v="3"/>
    <n v="14"/>
    <x v="1"/>
    <x v="7"/>
    <n v="-1269"/>
    <n v="-1"/>
    <n v="-2"/>
    <n v="-2"/>
  </r>
  <r>
    <x v="562"/>
    <x v="562"/>
    <n v="81730"/>
    <n v="2050"/>
    <x v="2"/>
    <n v="7"/>
    <x v="7"/>
    <n v="3"/>
    <n v="15"/>
    <x v="2"/>
    <x v="7"/>
    <n v="-1404"/>
    <n v="-1"/>
    <n v="-2"/>
    <n v="-2"/>
  </r>
  <r>
    <x v="563"/>
    <x v="563"/>
    <n v="73763"/>
    <n v="1849"/>
    <x v="2"/>
    <n v="7"/>
    <x v="7"/>
    <n v="3"/>
    <n v="16"/>
    <x v="3"/>
    <x v="7"/>
    <n v="-1850"/>
    <n v="-1"/>
    <n v="-3"/>
    <n v="-3"/>
  </r>
  <r>
    <x v="564"/>
    <x v="564"/>
    <n v="122670"/>
    <n v="3070"/>
    <x v="2"/>
    <n v="7"/>
    <x v="7"/>
    <n v="3"/>
    <n v="17"/>
    <x v="4"/>
    <x v="7"/>
    <n v="-3465"/>
    <n v="-1"/>
    <n v="-3"/>
    <n v="-3"/>
  </r>
  <r>
    <x v="565"/>
    <x v="565"/>
    <n v="132493"/>
    <n v="3322"/>
    <x v="2"/>
    <n v="7"/>
    <x v="7"/>
    <n v="3"/>
    <n v="18"/>
    <x v="5"/>
    <x v="7"/>
    <n v="-3052"/>
    <n v="-1"/>
    <n v="-2"/>
    <n v="-2"/>
  </r>
  <r>
    <x v="566"/>
    <x v="566"/>
    <n v="79556"/>
    <n v="1982"/>
    <x v="2"/>
    <n v="7"/>
    <x v="7"/>
    <n v="3"/>
    <n v="19"/>
    <x v="6"/>
    <x v="7"/>
    <n v="-1910"/>
    <n v="-1"/>
    <n v="-2"/>
    <n v="-2"/>
  </r>
  <r>
    <x v="567"/>
    <x v="567"/>
    <n v="71363"/>
    <n v="1787"/>
    <x v="2"/>
    <n v="7"/>
    <x v="7"/>
    <n v="3"/>
    <n v="20"/>
    <x v="0"/>
    <x v="7"/>
    <n v="-1436"/>
    <n v="-1"/>
    <n v="-2"/>
    <n v="-2"/>
  </r>
  <r>
    <x v="568"/>
    <x v="568"/>
    <n v="73852"/>
    <n v="1846"/>
    <x v="2"/>
    <n v="7"/>
    <x v="7"/>
    <n v="3"/>
    <n v="21"/>
    <x v="1"/>
    <x v="7"/>
    <n v="-1879"/>
    <n v="-1"/>
    <n v="-3"/>
    <n v="-3"/>
  </r>
  <r>
    <x v="569"/>
    <x v="569"/>
    <n v="45469"/>
    <n v="1142"/>
    <x v="2"/>
    <n v="7"/>
    <x v="7"/>
    <n v="3"/>
    <n v="22"/>
    <x v="2"/>
    <x v="7"/>
    <n v="-1164"/>
    <n v="-1"/>
    <n v="-3"/>
    <n v="-3"/>
  </r>
  <r>
    <x v="570"/>
    <x v="570"/>
    <n v="69324"/>
    <n v="1734"/>
    <x v="2"/>
    <n v="7"/>
    <x v="7"/>
    <n v="3"/>
    <n v="23"/>
    <x v="3"/>
    <x v="7"/>
    <n v="-2524"/>
    <n v="-1"/>
    <n v="-4"/>
    <n v="-4"/>
  </r>
  <r>
    <x v="571"/>
    <x v="571"/>
    <n v="130428"/>
    <n v="3259"/>
    <x v="2"/>
    <n v="7"/>
    <x v="7"/>
    <n v="3"/>
    <n v="24"/>
    <x v="4"/>
    <x v="7"/>
    <n v="-4739"/>
    <n v="-1"/>
    <n v="-4"/>
    <n v="-4"/>
  </r>
  <r>
    <x v="572"/>
    <x v="572"/>
    <n v="143537"/>
    <n v="3572"/>
    <x v="2"/>
    <n v="7"/>
    <x v="7"/>
    <n v="3"/>
    <n v="25"/>
    <x v="5"/>
    <x v="7"/>
    <n v="-4912"/>
    <n v="-1"/>
    <n v="-4"/>
    <n v="-4"/>
  </r>
  <r>
    <x v="573"/>
    <x v="573"/>
    <n v="85089"/>
    <n v="2109"/>
    <x v="2"/>
    <n v="7"/>
    <x v="7"/>
    <n v="3"/>
    <n v="26"/>
    <x v="6"/>
    <x v="7"/>
    <n v="-3374"/>
    <n v="-2"/>
    <n v="-4"/>
    <n v="-4"/>
  </r>
  <r>
    <x v="574"/>
    <x v="574"/>
    <n v="90243"/>
    <n v="2242"/>
    <x v="2"/>
    <n v="7"/>
    <x v="7"/>
    <n v="3"/>
    <n v="27"/>
    <x v="0"/>
    <x v="7"/>
    <n v="-3400"/>
    <n v="-2"/>
    <n v="-4"/>
    <n v="-4"/>
  </r>
  <r>
    <x v="575"/>
    <x v="575"/>
    <n v="59094"/>
    <n v="1474"/>
    <x v="2"/>
    <n v="7"/>
    <x v="7"/>
    <n v="3"/>
    <n v="28"/>
    <x v="1"/>
    <x v="7"/>
    <n v="-2117"/>
    <n v="-1"/>
    <n v="-4"/>
    <n v="-4"/>
  </r>
  <r>
    <x v="576"/>
    <x v="576"/>
    <n v="55517"/>
    <n v="1381"/>
    <x v="2"/>
    <n v="7"/>
    <x v="7"/>
    <n v="3"/>
    <n v="29"/>
    <x v="2"/>
    <x v="7"/>
    <n v="-2083"/>
    <n v="-2"/>
    <n v="-4"/>
    <n v="-4"/>
  </r>
  <r>
    <x v="577"/>
    <x v="577"/>
    <n v="57065"/>
    <n v="1423"/>
    <x v="2"/>
    <n v="7"/>
    <x v="7"/>
    <n v="3"/>
    <n v="30"/>
    <x v="3"/>
    <x v="7"/>
    <n v="-1931"/>
    <n v="-1"/>
    <n v="-4"/>
    <n v="-4"/>
  </r>
  <r>
    <x v="578"/>
    <x v="578"/>
    <n v="149877"/>
    <n v="3740"/>
    <x v="2"/>
    <n v="7"/>
    <x v="7"/>
    <n v="3"/>
    <n v="31"/>
    <x v="4"/>
    <x v="7"/>
    <n v="-4843"/>
    <n v="-1"/>
    <n v="-3"/>
    <n v="-3"/>
  </r>
  <r>
    <x v="579"/>
    <x v="579"/>
    <n v="178700"/>
    <n v="4453"/>
    <x v="2"/>
    <n v="8"/>
    <x v="8"/>
    <n v="3"/>
    <n v="1"/>
    <x v="5"/>
    <x v="7"/>
    <n v="-5393"/>
    <n v="-1"/>
    <n v="-3"/>
    <n v="-3"/>
  </r>
  <r>
    <x v="580"/>
    <x v="580"/>
    <n v="90829"/>
    <n v="2258"/>
    <x v="2"/>
    <n v="8"/>
    <x v="8"/>
    <n v="3"/>
    <n v="2"/>
    <x v="6"/>
    <x v="7"/>
    <n v="-2674"/>
    <n v="-1"/>
    <n v="-3"/>
    <n v="-3"/>
  </r>
  <r>
    <x v="581"/>
    <x v="581"/>
    <n v="83115"/>
    <n v="2074"/>
    <x v="2"/>
    <n v="8"/>
    <x v="8"/>
    <n v="3"/>
    <n v="3"/>
    <x v="0"/>
    <x v="7"/>
    <n v="-1973"/>
    <n v="-1"/>
    <n v="-2"/>
    <n v="-2"/>
  </r>
  <r>
    <x v="582"/>
    <x v="582"/>
    <n v="80418"/>
    <n v="2007"/>
    <x v="2"/>
    <n v="8"/>
    <x v="8"/>
    <n v="3"/>
    <n v="4"/>
    <x v="1"/>
    <x v="7"/>
    <n v="-2745"/>
    <n v="-1"/>
    <n v="-4"/>
    <n v="-4"/>
  </r>
  <r>
    <x v="583"/>
    <x v="583"/>
    <n v="78024"/>
    <n v="1948"/>
    <x v="2"/>
    <n v="8"/>
    <x v="8"/>
    <n v="3"/>
    <n v="5"/>
    <x v="2"/>
    <x v="7"/>
    <n v="-2541"/>
    <n v="-1"/>
    <n v="-3"/>
    <n v="-3"/>
  </r>
  <r>
    <x v="584"/>
    <x v="584"/>
    <n v="76978"/>
    <n v="1922"/>
    <x v="2"/>
    <n v="8"/>
    <x v="8"/>
    <n v="3"/>
    <n v="6"/>
    <x v="3"/>
    <x v="7"/>
    <n v="-2624"/>
    <n v="-1"/>
    <n v="-4"/>
    <n v="-4"/>
  </r>
  <r>
    <x v="585"/>
    <x v="585"/>
    <n v="123708"/>
    <n v="3088"/>
    <x v="2"/>
    <n v="8"/>
    <x v="8"/>
    <n v="3"/>
    <n v="7"/>
    <x v="4"/>
    <x v="7"/>
    <n v="-3381"/>
    <n v="-1"/>
    <n v="-3"/>
    <n v="-3"/>
  </r>
  <r>
    <x v="586"/>
    <x v="586"/>
    <n v="135721"/>
    <n v="3388"/>
    <x v="2"/>
    <n v="8"/>
    <x v="8"/>
    <n v="3"/>
    <n v="8"/>
    <x v="5"/>
    <x v="7"/>
    <n v="-3853"/>
    <n v="-1"/>
    <n v="-3"/>
    <n v="-3"/>
  </r>
  <r>
    <x v="587"/>
    <x v="587"/>
    <n v="77979"/>
    <n v="1944"/>
    <x v="2"/>
    <n v="8"/>
    <x v="8"/>
    <n v="3"/>
    <n v="9"/>
    <x v="6"/>
    <x v="7"/>
    <n v="-2475"/>
    <n v="-1"/>
    <n v="-3"/>
    <n v="-3"/>
  </r>
  <r>
    <x v="588"/>
    <x v="588"/>
    <n v="72666"/>
    <n v="1812"/>
    <x v="2"/>
    <n v="8"/>
    <x v="8"/>
    <n v="3"/>
    <n v="10"/>
    <x v="0"/>
    <x v="7"/>
    <n v="-2698"/>
    <n v="-1"/>
    <n v="-4"/>
    <n v="-4"/>
  </r>
  <r>
    <x v="589"/>
    <x v="589"/>
    <n v="62538"/>
    <n v="1563"/>
    <x v="2"/>
    <n v="8"/>
    <x v="8"/>
    <n v="3"/>
    <n v="11"/>
    <x v="1"/>
    <x v="7"/>
    <n v="-2351"/>
    <n v="-2"/>
    <n v="-4"/>
    <n v="-4"/>
  </r>
  <r>
    <x v="590"/>
    <x v="590"/>
    <n v="46850"/>
    <n v="1171"/>
    <x v="2"/>
    <n v="8"/>
    <x v="8"/>
    <n v="3"/>
    <n v="12"/>
    <x v="2"/>
    <x v="8"/>
    <n v="-2151"/>
    <n v="-2"/>
    <n v="-5"/>
    <n v="-5"/>
  </r>
  <r>
    <x v="591"/>
    <x v="591"/>
    <n v="41414"/>
    <n v="1035"/>
    <x v="2"/>
    <n v="8"/>
    <x v="8"/>
    <n v="3"/>
    <n v="13"/>
    <x v="3"/>
    <x v="8"/>
    <n v="-1951"/>
    <n v="-2"/>
    <n v="-5"/>
    <n v="-5"/>
  </r>
  <r>
    <x v="592"/>
    <x v="592"/>
    <n v="89899"/>
    <n v="2247"/>
    <x v="2"/>
    <n v="8"/>
    <x v="8"/>
    <n v="3"/>
    <n v="14"/>
    <x v="4"/>
    <x v="8"/>
    <n v="-4105"/>
    <n v="-2"/>
    <n v="-5"/>
    <n v="-5"/>
  </r>
  <r>
    <x v="593"/>
    <x v="593"/>
    <n v="122504"/>
    <n v="3068"/>
    <x v="2"/>
    <n v="8"/>
    <x v="8"/>
    <n v="3"/>
    <n v="15"/>
    <x v="5"/>
    <x v="8"/>
    <n v="-5216"/>
    <n v="-2"/>
    <n v="-4"/>
    <n v="-4"/>
  </r>
  <r>
    <x v="594"/>
    <x v="594"/>
    <n v="74589"/>
    <n v="1866"/>
    <x v="2"/>
    <n v="8"/>
    <x v="8"/>
    <n v="3"/>
    <n v="16"/>
    <x v="6"/>
    <x v="8"/>
    <n v="-3533"/>
    <n v="-2"/>
    <n v="-5"/>
    <n v="-5"/>
  </r>
  <r>
    <x v="595"/>
    <x v="595"/>
    <n v="67505"/>
    <n v="1690"/>
    <x v="2"/>
    <n v="8"/>
    <x v="8"/>
    <n v="3"/>
    <n v="17"/>
    <x v="0"/>
    <x v="8"/>
    <n v="-3111"/>
    <n v="-2"/>
    <n v="-5"/>
    <n v="-5"/>
  </r>
  <r>
    <x v="596"/>
    <x v="596"/>
    <n v="36842"/>
    <n v="922"/>
    <x v="2"/>
    <n v="8"/>
    <x v="8"/>
    <n v="3"/>
    <n v="18"/>
    <x v="1"/>
    <x v="8"/>
    <n v="-1676"/>
    <n v="-2"/>
    <n v="-5"/>
    <n v="-5"/>
  </r>
  <r>
    <x v="597"/>
    <x v="597"/>
    <n v="24104"/>
    <n v="604"/>
    <x v="2"/>
    <n v="8"/>
    <x v="8"/>
    <n v="3"/>
    <n v="19"/>
    <x v="2"/>
    <x v="8"/>
    <n v="-870"/>
    <n v="-1"/>
    <n v="-4"/>
    <n v="-4"/>
  </r>
  <r>
    <x v="598"/>
    <x v="598"/>
    <n v="25407"/>
    <n v="643"/>
    <x v="2"/>
    <n v="8"/>
    <x v="8"/>
    <n v="3"/>
    <n v="20"/>
    <x v="3"/>
    <x v="8"/>
    <n v="-652"/>
    <n v="-1"/>
    <n v="-3"/>
    <n v="-3"/>
  </r>
  <r>
    <x v="599"/>
    <x v="599"/>
    <n v="78692"/>
    <n v="2006"/>
    <x v="2"/>
    <n v="8"/>
    <x v="8"/>
    <n v="3"/>
    <n v="21"/>
    <x v="4"/>
    <x v="8"/>
    <n v="-2001"/>
    <n v="-1"/>
    <n v="-3"/>
    <n v="-3"/>
  </r>
  <r>
    <x v="600"/>
    <x v="600"/>
    <n v="104713"/>
    <n v="2677"/>
    <x v="2"/>
    <n v="8"/>
    <x v="8"/>
    <n v="3"/>
    <n v="22"/>
    <x v="5"/>
    <x v="8"/>
    <n v="-2482"/>
    <n v="-1"/>
    <n v="-2"/>
    <n v="-2"/>
  </r>
  <r>
    <x v="601"/>
    <x v="601"/>
    <n v="57549"/>
    <n v="1467"/>
    <x v="2"/>
    <n v="8"/>
    <x v="8"/>
    <n v="3"/>
    <n v="23"/>
    <x v="6"/>
    <x v="7"/>
    <n v="-574"/>
    <n v="0"/>
    <n v="-1"/>
    <n v="-1"/>
  </r>
  <r>
    <x v="602"/>
    <x v="602"/>
    <n v="59785"/>
    <n v="1528"/>
    <x v="2"/>
    <n v="8"/>
    <x v="8"/>
    <n v="3"/>
    <n v="24"/>
    <x v="0"/>
    <x v="7"/>
    <n v="-343"/>
    <n v="0"/>
    <n v="-1"/>
    <n v="-1"/>
  </r>
  <r>
    <x v="603"/>
    <x v="603"/>
    <n v="246976"/>
    <n v="6360"/>
    <x v="2"/>
    <n v="8"/>
    <x v="8"/>
    <n v="3"/>
    <n v="25"/>
    <x v="1"/>
    <x v="2"/>
    <n v="-29292"/>
    <n v="-5"/>
    <n v="-13"/>
    <n v="-13"/>
  </r>
  <r>
    <x v="604"/>
    <x v="604"/>
    <n v="307092"/>
    <n v="8035"/>
    <x v="2"/>
    <n v="8"/>
    <x v="8"/>
    <n v="3"/>
    <n v="26"/>
    <x v="2"/>
    <x v="2"/>
    <n v="-31633"/>
    <n v="-4"/>
    <n v="-11"/>
    <n v="-11"/>
  </r>
  <r>
    <x v="605"/>
    <x v="605"/>
    <n v="252845"/>
    <n v="6675"/>
    <x v="2"/>
    <n v="8"/>
    <x v="8"/>
    <n v="3"/>
    <n v="27"/>
    <x v="3"/>
    <x v="2"/>
    <n v="-24114"/>
    <n v="-4"/>
    <n v="-11"/>
    <n v="-11"/>
  </r>
  <r>
    <x v="606"/>
    <x v="606"/>
    <n v="426783"/>
    <n v="11330"/>
    <x v="2"/>
    <n v="8"/>
    <x v="8"/>
    <n v="3"/>
    <n v="28"/>
    <x v="4"/>
    <x v="2"/>
    <n v="-39144"/>
    <n v="-3"/>
    <n v="-10"/>
    <n v="-10"/>
  </r>
  <r>
    <x v="607"/>
    <x v="607"/>
    <n v="504578"/>
    <n v="13484"/>
    <x v="2"/>
    <n v="8"/>
    <x v="8"/>
    <n v="3"/>
    <n v="29"/>
    <x v="5"/>
    <x v="2"/>
    <n v="-43390"/>
    <n v="-3"/>
    <n v="-9"/>
    <n v="-9"/>
  </r>
  <r>
    <x v="608"/>
    <x v="608"/>
    <n v="220152"/>
    <n v="5913"/>
    <x v="2"/>
    <n v="8"/>
    <x v="8"/>
    <n v="3"/>
    <n v="30"/>
    <x v="6"/>
    <x v="2"/>
    <n v="-17903"/>
    <n v="-3"/>
    <n v="-9"/>
    <n v="-9"/>
  </r>
  <r>
    <x v="609"/>
    <x v="609"/>
    <n v="361970"/>
    <n v="9721"/>
    <x v="2"/>
    <n v="8"/>
    <x v="8"/>
    <n v="3"/>
    <n v="31"/>
    <x v="0"/>
    <x v="2"/>
    <n v="-29411"/>
    <n v="-3"/>
    <n v="-9"/>
    <n v="-9"/>
  </r>
  <r>
    <x v="610"/>
    <x v="610"/>
    <n v="418102"/>
    <n v="11257"/>
    <x v="2"/>
    <n v="9"/>
    <x v="9"/>
    <n v="3"/>
    <n v="1"/>
    <x v="1"/>
    <x v="2"/>
    <n v="-33295"/>
    <n v="-3"/>
    <n v="-9"/>
    <n v="-9"/>
  </r>
  <r>
    <x v="611"/>
    <x v="611"/>
    <n v="373816"/>
    <n v="10102"/>
    <x v="2"/>
    <n v="9"/>
    <x v="9"/>
    <n v="3"/>
    <n v="2"/>
    <x v="2"/>
    <x v="2"/>
    <n v="-28040"/>
    <n v="-3"/>
    <n v="-8"/>
    <n v="-8"/>
  </r>
  <r>
    <x v="612"/>
    <x v="612"/>
    <n v="293344"/>
    <n v="7938"/>
    <x v="2"/>
    <n v="9"/>
    <x v="9"/>
    <n v="3"/>
    <n v="3"/>
    <x v="3"/>
    <x v="2"/>
    <n v="-21793"/>
    <n v="-3"/>
    <n v="-8"/>
    <n v="-8"/>
  </r>
  <r>
    <x v="613"/>
    <x v="613"/>
    <n v="366360"/>
    <n v="9936"/>
    <x v="2"/>
    <n v="9"/>
    <x v="9"/>
    <n v="3"/>
    <n v="4"/>
    <x v="4"/>
    <x v="2"/>
    <n v="-25919"/>
    <n v="-3"/>
    <n v="-8"/>
    <n v="-8"/>
  </r>
  <r>
    <x v="614"/>
    <x v="614"/>
    <n v="392128"/>
    <n v="10643"/>
    <x v="2"/>
    <n v="9"/>
    <x v="9"/>
    <n v="3"/>
    <n v="5"/>
    <x v="5"/>
    <x v="2"/>
    <n v="-27712"/>
    <n v="-3"/>
    <n v="-8"/>
    <n v="-8"/>
  </r>
  <r>
    <x v="615"/>
    <x v="615"/>
    <n v="176648"/>
    <n v="4800"/>
    <x v="2"/>
    <n v="9"/>
    <x v="9"/>
    <n v="3"/>
    <n v="6"/>
    <x v="6"/>
    <x v="2"/>
    <n v="-11928"/>
    <n v="-2"/>
    <n v="-7"/>
    <n v="-7"/>
  </r>
  <r>
    <x v="616"/>
    <x v="616"/>
    <n v="192508"/>
    <n v="5228"/>
    <x v="2"/>
    <n v="9"/>
    <x v="9"/>
    <n v="3"/>
    <n v="7"/>
    <x v="0"/>
    <x v="2"/>
    <n v="-13586"/>
    <n v="-3"/>
    <n v="-8"/>
    <n v="-8"/>
  </r>
  <r>
    <x v="617"/>
    <x v="617"/>
    <n v="66640"/>
    <n v="1810"/>
    <x v="2"/>
    <n v="9"/>
    <x v="9"/>
    <n v="3"/>
    <n v="8"/>
    <x v="1"/>
    <x v="7"/>
    <n v="3647"/>
    <n v="2"/>
    <n v="5"/>
    <n v="5"/>
  </r>
  <r>
    <x v="618"/>
    <x v="618"/>
    <n v="72211"/>
    <n v="1961"/>
    <x v="2"/>
    <n v="9"/>
    <x v="9"/>
    <n v="3"/>
    <n v="9"/>
    <x v="2"/>
    <x v="7"/>
    <n v="3803"/>
    <n v="2"/>
    <n v="5"/>
    <n v="5"/>
  </r>
  <r>
    <x v="619"/>
    <x v="619"/>
    <n v="45317"/>
    <n v="1232"/>
    <x v="2"/>
    <n v="9"/>
    <x v="9"/>
    <n v="3"/>
    <n v="10"/>
    <x v="3"/>
    <x v="7"/>
    <n v="3090"/>
    <n v="3"/>
    <n v="6"/>
    <n v="6"/>
  </r>
  <r>
    <x v="620"/>
    <x v="620"/>
    <n v="81560"/>
    <n v="2194"/>
    <x v="2"/>
    <n v="9"/>
    <x v="9"/>
    <n v="3"/>
    <n v="11"/>
    <x v="4"/>
    <x v="7"/>
    <n v="4380"/>
    <n v="2"/>
    <n v="5"/>
    <n v="5"/>
  </r>
  <r>
    <x v="621"/>
    <x v="621"/>
    <n v="54341"/>
    <n v="1469"/>
    <x v="2"/>
    <n v="9"/>
    <x v="9"/>
    <n v="3"/>
    <n v="12"/>
    <x v="5"/>
    <x v="7"/>
    <n v="3041"/>
    <n v="2"/>
    <n v="5"/>
    <n v="5"/>
  </r>
  <r>
    <x v="622"/>
    <x v="622"/>
    <n v="30764"/>
    <n v="829"/>
    <x v="2"/>
    <n v="9"/>
    <x v="9"/>
    <n v="3"/>
    <n v="13"/>
    <x v="6"/>
    <x v="7"/>
    <n v="1716"/>
    <n v="2"/>
    <n v="5"/>
    <n v="5"/>
  </r>
  <r>
    <x v="623"/>
    <x v="623"/>
    <n v="49656"/>
    <n v="1329"/>
    <x v="2"/>
    <n v="9"/>
    <x v="9"/>
    <n v="3"/>
    <n v="14"/>
    <x v="0"/>
    <x v="7"/>
    <n v="2504"/>
    <n v="2"/>
    <n v="5"/>
    <n v="5"/>
  </r>
  <r>
    <x v="624"/>
    <x v="624"/>
    <n v="48602"/>
    <n v="1300"/>
    <x v="2"/>
    <n v="9"/>
    <x v="9"/>
    <n v="3"/>
    <n v="15"/>
    <x v="1"/>
    <x v="7"/>
    <n v="2401"/>
    <n v="2"/>
    <n v="5"/>
    <n v="5"/>
  </r>
  <r>
    <x v="625"/>
    <x v="625"/>
    <n v="28605"/>
    <n v="773"/>
    <x v="2"/>
    <n v="9"/>
    <x v="9"/>
    <n v="3"/>
    <n v="16"/>
    <x v="2"/>
    <x v="7"/>
    <n v="1589"/>
    <n v="2"/>
    <n v="5"/>
    <n v="5"/>
  </r>
  <r>
    <x v="626"/>
    <x v="626"/>
    <n v="28084"/>
    <n v="760"/>
    <x v="2"/>
    <n v="9"/>
    <x v="9"/>
    <n v="3"/>
    <n v="17"/>
    <x v="3"/>
    <x v="7"/>
    <n v="1667"/>
    <n v="2"/>
    <n v="6"/>
    <n v="6"/>
  </r>
  <r>
    <x v="627"/>
    <x v="627"/>
    <n v="64882"/>
    <n v="1755"/>
    <x v="2"/>
    <n v="9"/>
    <x v="9"/>
    <n v="3"/>
    <n v="18"/>
    <x v="4"/>
    <x v="7"/>
    <n v="3623"/>
    <n v="2"/>
    <n v="5"/>
    <n v="5"/>
  </r>
  <r>
    <x v="628"/>
    <x v="628"/>
    <n v="65212"/>
    <n v="1766"/>
    <x v="2"/>
    <n v="9"/>
    <x v="9"/>
    <n v="3"/>
    <n v="19"/>
    <x v="5"/>
    <x v="7"/>
    <n v="3785"/>
    <n v="2"/>
    <n v="5"/>
    <n v="5"/>
  </r>
  <r>
    <x v="629"/>
    <x v="629"/>
    <n v="39629"/>
    <n v="1078"/>
    <x v="2"/>
    <n v="9"/>
    <x v="9"/>
    <n v="3"/>
    <n v="20"/>
    <x v="6"/>
    <x v="7"/>
    <n v="2226"/>
    <n v="2"/>
    <n v="5"/>
    <n v="5"/>
  </r>
  <r>
    <x v="630"/>
    <x v="630"/>
    <n v="41485"/>
    <n v="1124"/>
    <x v="2"/>
    <n v="9"/>
    <x v="9"/>
    <n v="3"/>
    <n v="21"/>
    <x v="0"/>
    <x v="7"/>
    <n v="2818"/>
    <n v="3"/>
    <n v="6"/>
    <n v="6"/>
  </r>
  <r>
    <x v="631"/>
    <x v="631"/>
    <n v="43807"/>
    <n v="1182"/>
    <x v="2"/>
    <n v="9"/>
    <x v="9"/>
    <n v="3"/>
    <n v="22"/>
    <x v="1"/>
    <x v="7"/>
    <n v="2793"/>
    <n v="2"/>
    <n v="6"/>
    <n v="6"/>
  </r>
  <r>
    <x v="632"/>
    <x v="632"/>
    <n v="138584"/>
    <n v="3725"/>
    <x v="2"/>
    <n v="9"/>
    <x v="9"/>
    <n v="3"/>
    <n v="23"/>
    <x v="2"/>
    <x v="2"/>
    <n v="-13401"/>
    <n v="-4"/>
    <n v="-11"/>
    <n v="-11"/>
  </r>
  <r>
    <x v="633"/>
    <x v="633"/>
    <n v="167705"/>
    <n v="4492"/>
    <x v="2"/>
    <n v="9"/>
    <x v="9"/>
    <n v="3"/>
    <n v="24"/>
    <x v="3"/>
    <x v="0"/>
    <n v="-17668"/>
    <n v="-4"/>
    <n v="-12"/>
    <n v="-12"/>
  </r>
  <r>
    <x v="634"/>
    <x v="634"/>
    <n v="413541"/>
    <n v="11030"/>
    <x v="2"/>
    <n v="9"/>
    <x v="9"/>
    <n v="3"/>
    <n v="25"/>
    <x v="4"/>
    <x v="0"/>
    <n v="-45503"/>
    <n v="-4"/>
    <n v="-12"/>
    <n v="-12"/>
  </r>
  <r>
    <x v="635"/>
    <x v="635"/>
    <n v="397627"/>
    <n v="10528"/>
    <x v="2"/>
    <n v="9"/>
    <x v="9"/>
    <n v="3"/>
    <n v="26"/>
    <x v="5"/>
    <x v="0"/>
    <n v="-46307"/>
    <n v="-4"/>
    <n v="-13"/>
    <n v="-13"/>
  </r>
  <r>
    <x v="636"/>
    <x v="636"/>
    <n v="185404"/>
    <n v="4895"/>
    <x v="2"/>
    <n v="9"/>
    <x v="9"/>
    <n v="3"/>
    <n v="27"/>
    <x v="6"/>
    <x v="0"/>
    <n v="-22114"/>
    <n v="-5"/>
    <n v="-14"/>
    <n v="-14"/>
  </r>
  <r>
    <x v="637"/>
    <x v="637"/>
    <n v="216571"/>
    <n v="5720"/>
    <x v="2"/>
    <n v="9"/>
    <x v="9"/>
    <n v="3"/>
    <n v="28"/>
    <x v="0"/>
    <x v="0"/>
    <n v="-25679"/>
    <n v="-4"/>
    <n v="-13"/>
    <n v="-13"/>
  </r>
  <r>
    <x v="638"/>
    <x v="638"/>
    <n v="162929"/>
    <n v="4288"/>
    <x v="2"/>
    <n v="9"/>
    <x v="9"/>
    <n v="3"/>
    <n v="29"/>
    <x v="1"/>
    <x v="0"/>
    <n v="-19847"/>
    <n v="-5"/>
    <n v="-14"/>
    <n v="-14"/>
  </r>
  <r>
    <x v="639"/>
    <x v="639"/>
    <n v="368435"/>
    <n v="9693"/>
    <x v="2"/>
    <n v="9"/>
    <x v="9"/>
    <n v="3"/>
    <n v="30"/>
    <x v="2"/>
    <x v="0"/>
    <n v="-44886"/>
    <n v="-5"/>
    <n v="-14"/>
    <n v="-14"/>
  </r>
  <r>
    <x v="640"/>
    <x v="640"/>
    <n v="459286"/>
    <n v="12065"/>
    <x v="2"/>
    <n v="10"/>
    <x v="10"/>
    <n v="4"/>
    <n v="1"/>
    <x v="3"/>
    <x v="0"/>
    <n v="-56973"/>
    <n v="-5"/>
    <n v="-14"/>
    <n v="-14"/>
  </r>
  <r>
    <x v="641"/>
    <x v="641"/>
    <n v="448391"/>
    <n v="11758"/>
    <x v="2"/>
    <n v="10"/>
    <x v="10"/>
    <n v="4"/>
    <n v="2"/>
    <x v="4"/>
    <x v="0"/>
    <n v="-54756"/>
    <n v="-5"/>
    <n v="-14"/>
    <n v="-14"/>
  </r>
  <r>
    <x v="642"/>
    <x v="642"/>
    <n v="515549"/>
    <n v="13508"/>
    <x v="2"/>
    <n v="10"/>
    <x v="10"/>
    <n v="4"/>
    <n v="3"/>
    <x v="5"/>
    <x v="0"/>
    <n v="-64449"/>
    <n v="-5"/>
    <n v="-14"/>
    <n v="-14"/>
  </r>
  <r>
    <x v="643"/>
    <x v="643"/>
    <n v="232360"/>
    <n v="6085"/>
    <x v="2"/>
    <n v="10"/>
    <x v="10"/>
    <n v="4"/>
    <n v="4"/>
    <x v="6"/>
    <x v="0"/>
    <n v="-29458"/>
    <n v="-5"/>
    <n v="-15"/>
    <n v="-15"/>
  </r>
  <r>
    <x v="644"/>
    <x v="644"/>
    <n v="336898"/>
    <n v="8828"/>
    <x v="2"/>
    <n v="10"/>
    <x v="10"/>
    <n v="4"/>
    <n v="5"/>
    <x v="0"/>
    <x v="0"/>
    <n v="-42340"/>
    <n v="-5"/>
    <n v="-14"/>
    <n v="-14"/>
  </r>
  <r>
    <x v="645"/>
    <x v="645"/>
    <n v="253291"/>
    <n v="6636"/>
    <x v="2"/>
    <n v="10"/>
    <x v="10"/>
    <n v="4"/>
    <n v="6"/>
    <x v="1"/>
    <x v="0"/>
    <n v="-31673"/>
    <n v="-5"/>
    <n v="-14"/>
    <n v="-14"/>
  </r>
  <r>
    <x v="646"/>
    <x v="646"/>
    <n v="61943"/>
    <n v="1622"/>
    <x v="2"/>
    <n v="10"/>
    <x v="10"/>
    <n v="4"/>
    <n v="7"/>
    <x v="2"/>
    <x v="7"/>
    <n v="2026"/>
    <n v="1"/>
    <n v="3"/>
    <n v="3"/>
  </r>
  <r>
    <x v="647"/>
    <x v="647"/>
    <n v="57736"/>
    <n v="1512"/>
    <x v="2"/>
    <n v="10"/>
    <x v="10"/>
    <n v="4"/>
    <n v="8"/>
    <x v="3"/>
    <x v="7"/>
    <n v="1873"/>
    <n v="1"/>
    <n v="3"/>
    <n v="3"/>
  </r>
  <r>
    <x v="648"/>
    <x v="648"/>
    <n v="122622"/>
    <n v="3211"/>
    <x v="2"/>
    <n v="10"/>
    <x v="10"/>
    <n v="4"/>
    <n v="9"/>
    <x v="4"/>
    <x v="7"/>
    <n v="3966"/>
    <n v="1"/>
    <n v="3"/>
    <n v="3"/>
  </r>
  <r>
    <x v="649"/>
    <x v="649"/>
    <n v="116004"/>
    <n v="3037"/>
    <x v="2"/>
    <n v="10"/>
    <x v="10"/>
    <n v="4"/>
    <n v="10"/>
    <x v="5"/>
    <x v="7"/>
    <n v="3751"/>
    <n v="1"/>
    <n v="3"/>
    <n v="3"/>
  </r>
  <r>
    <x v="650"/>
    <x v="650"/>
    <n v="55618"/>
    <n v="1456"/>
    <x v="2"/>
    <n v="10"/>
    <x v="10"/>
    <n v="4"/>
    <n v="11"/>
    <x v="6"/>
    <x v="7"/>
    <n v="1796"/>
    <n v="1"/>
    <n v="3"/>
    <n v="3"/>
  </r>
  <r>
    <x v="651"/>
    <x v="651"/>
    <n v="55933"/>
    <n v="1465"/>
    <x v="2"/>
    <n v="10"/>
    <x v="10"/>
    <n v="4"/>
    <n v="12"/>
    <x v="0"/>
    <x v="7"/>
    <n v="1816"/>
    <n v="1"/>
    <n v="3"/>
    <n v="3"/>
  </r>
  <r>
    <x v="652"/>
    <x v="652"/>
    <n v="38881"/>
    <n v="1018"/>
    <x v="2"/>
    <n v="10"/>
    <x v="10"/>
    <n v="4"/>
    <n v="13"/>
    <x v="1"/>
    <x v="7"/>
    <n v="1260"/>
    <n v="1"/>
    <n v="3"/>
    <n v="3"/>
  </r>
  <r>
    <x v="653"/>
    <x v="653"/>
    <n v="40869"/>
    <n v="1070"/>
    <x v="2"/>
    <n v="10"/>
    <x v="10"/>
    <n v="4"/>
    <n v="14"/>
    <x v="2"/>
    <x v="7"/>
    <n v="1327"/>
    <n v="1"/>
    <n v="3"/>
    <n v="3"/>
  </r>
  <r>
    <x v="654"/>
    <x v="654"/>
    <n v="51799"/>
    <n v="1357"/>
    <x v="2"/>
    <n v="10"/>
    <x v="10"/>
    <n v="4"/>
    <n v="15"/>
    <x v="3"/>
    <x v="7"/>
    <n v="1692"/>
    <n v="1"/>
    <n v="3"/>
    <n v="3"/>
  </r>
  <r>
    <x v="655"/>
    <x v="655"/>
    <n v="107332"/>
    <n v="2810"/>
    <x v="2"/>
    <n v="10"/>
    <x v="10"/>
    <n v="4"/>
    <n v="16"/>
    <x v="4"/>
    <x v="7"/>
    <n v="3477"/>
    <n v="1"/>
    <n v="3"/>
    <n v="3"/>
  </r>
  <r>
    <x v="656"/>
    <x v="656"/>
    <n v="108024"/>
    <n v="2829"/>
    <x v="2"/>
    <n v="10"/>
    <x v="10"/>
    <n v="4"/>
    <n v="17"/>
    <x v="5"/>
    <x v="7"/>
    <n v="3503"/>
    <n v="1"/>
    <n v="3"/>
    <n v="3"/>
  </r>
  <r>
    <x v="657"/>
    <x v="657"/>
    <n v="57937"/>
    <n v="1517"/>
    <x v="2"/>
    <n v="10"/>
    <x v="10"/>
    <n v="4"/>
    <n v="18"/>
    <x v="6"/>
    <x v="7"/>
    <n v="1871"/>
    <n v="1"/>
    <n v="3"/>
    <n v="3"/>
  </r>
  <r>
    <x v="658"/>
    <x v="658"/>
    <n v="53437"/>
    <n v="1399"/>
    <x v="2"/>
    <n v="10"/>
    <x v="10"/>
    <n v="4"/>
    <n v="19"/>
    <x v="0"/>
    <x v="7"/>
    <n v="1729"/>
    <n v="1"/>
    <n v="3"/>
    <n v="3"/>
  </r>
  <r>
    <x v="659"/>
    <x v="659"/>
    <n v="40736"/>
    <n v="1067"/>
    <x v="2"/>
    <n v="10"/>
    <x v="10"/>
    <n v="4"/>
    <n v="20"/>
    <x v="1"/>
    <x v="7"/>
    <n v="1319"/>
    <n v="1"/>
    <n v="3"/>
    <n v="3"/>
  </r>
  <r>
    <x v="660"/>
    <x v="660"/>
    <n v="52000"/>
    <n v="1361"/>
    <x v="2"/>
    <n v="10"/>
    <x v="10"/>
    <n v="4"/>
    <n v="21"/>
    <x v="2"/>
    <x v="7"/>
    <n v="1678"/>
    <n v="1"/>
    <n v="3"/>
    <n v="3"/>
  </r>
  <r>
    <x v="661"/>
    <x v="661"/>
    <n v="54178"/>
    <n v="1419"/>
    <x v="2"/>
    <n v="10"/>
    <x v="10"/>
    <n v="4"/>
    <n v="22"/>
    <x v="3"/>
    <x v="7"/>
    <n v="1752"/>
    <n v="1"/>
    <n v="3"/>
    <n v="3"/>
  </r>
  <r>
    <x v="662"/>
    <x v="662"/>
    <n v="192527"/>
    <n v="5042"/>
    <x v="2"/>
    <n v="10"/>
    <x v="10"/>
    <n v="4"/>
    <n v="23"/>
    <x v="4"/>
    <x v="6"/>
    <n v="-6756"/>
    <n v="-1"/>
    <n v="-4"/>
    <n v="-4"/>
  </r>
  <r>
    <x v="663"/>
    <x v="663"/>
    <n v="262410"/>
    <n v="6872"/>
    <x v="2"/>
    <n v="10"/>
    <x v="10"/>
    <n v="4"/>
    <n v="24"/>
    <x v="5"/>
    <x v="6"/>
    <n v="-9293"/>
    <n v="-1"/>
    <n v="-4"/>
    <n v="-4"/>
  </r>
  <r>
    <x v="664"/>
    <x v="664"/>
    <n v="122915"/>
    <n v="3218"/>
    <x v="2"/>
    <n v="10"/>
    <x v="10"/>
    <n v="4"/>
    <n v="25"/>
    <x v="6"/>
    <x v="6"/>
    <n v="-4297"/>
    <n v="-1"/>
    <n v="-4"/>
    <n v="-4"/>
  </r>
  <r>
    <x v="665"/>
    <x v="665"/>
    <n v="128134"/>
    <n v="3347"/>
    <x v="2"/>
    <n v="10"/>
    <x v="10"/>
    <n v="4"/>
    <n v="26"/>
    <x v="0"/>
    <x v="6"/>
    <n v="-4813"/>
    <n v="-1"/>
    <n v="-4"/>
    <n v="-4"/>
  </r>
  <r>
    <x v="666"/>
    <x v="666"/>
    <n v="122175"/>
    <n v="3177"/>
    <x v="2"/>
    <n v="10"/>
    <x v="10"/>
    <n v="4"/>
    <n v="27"/>
    <x v="1"/>
    <x v="6"/>
    <n v="-5124"/>
    <n v="-2"/>
    <n v="-4"/>
    <n v="-4"/>
  </r>
  <r>
    <x v="667"/>
    <x v="667"/>
    <n v="174699"/>
    <n v="4532"/>
    <x v="2"/>
    <n v="10"/>
    <x v="10"/>
    <n v="4"/>
    <n v="28"/>
    <x v="2"/>
    <x v="4"/>
    <n v="-15399"/>
    <n v="-3"/>
    <n v="-10"/>
    <n v="-10"/>
  </r>
  <r>
    <x v="668"/>
    <x v="668"/>
    <n v="124349"/>
    <n v="3231"/>
    <x v="2"/>
    <n v="10"/>
    <x v="10"/>
    <n v="4"/>
    <n v="29"/>
    <x v="3"/>
    <x v="6"/>
    <n v="-5302"/>
    <n v="-2"/>
    <n v="-4"/>
    <n v="-4"/>
  </r>
  <r>
    <x v="669"/>
    <x v="669"/>
    <n v="297628"/>
    <n v="7731"/>
    <x v="2"/>
    <n v="10"/>
    <x v="10"/>
    <n v="4"/>
    <n v="30"/>
    <x v="4"/>
    <x v="6"/>
    <n v="-12546"/>
    <n v="-2"/>
    <n v="-4"/>
    <n v="-4"/>
  </r>
  <r>
    <x v="670"/>
    <x v="670"/>
    <n v="429833"/>
    <n v="11148"/>
    <x v="2"/>
    <n v="10"/>
    <x v="10"/>
    <n v="4"/>
    <n v="31"/>
    <x v="5"/>
    <x v="4"/>
    <n v="-38177"/>
    <n v="-3"/>
    <n v="-10"/>
    <n v="-10"/>
  </r>
  <r>
    <x v="671"/>
    <x v="671"/>
    <n v="287978"/>
    <n v="7459"/>
    <x v="2"/>
    <n v="11"/>
    <x v="11"/>
    <n v="4"/>
    <n v="1"/>
    <x v="6"/>
    <x v="6"/>
    <n v="-13163"/>
    <n v="-2"/>
    <n v="-5"/>
    <n v="-5"/>
  </r>
  <r>
    <x v="672"/>
    <x v="672"/>
    <n v="281915"/>
    <n v="7316"/>
    <x v="2"/>
    <n v="11"/>
    <x v="11"/>
    <n v="4"/>
    <n v="2"/>
    <x v="0"/>
    <x v="6"/>
    <n v="-12360"/>
    <n v="-2"/>
    <n v="-5"/>
    <n v="-5"/>
  </r>
  <r>
    <x v="673"/>
    <x v="673"/>
    <n v="201126"/>
    <n v="5211"/>
    <x v="2"/>
    <n v="11"/>
    <x v="11"/>
    <n v="4"/>
    <n v="3"/>
    <x v="1"/>
    <x v="6"/>
    <n v="-9125"/>
    <n v="-2"/>
    <n v="-5"/>
    <n v="-5"/>
  </r>
  <r>
    <x v="674"/>
    <x v="674"/>
    <n v="220580"/>
    <n v="5731"/>
    <x v="2"/>
    <n v="11"/>
    <x v="11"/>
    <n v="4"/>
    <n v="4"/>
    <x v="2"/>
    <x v="4"/>
    <n v="-19212"/>
    <n v="-3"/>
    <n v="-10"/>
    <n v="-10"/>
  </r>
  <r>
    <x v="675"/>
    <x v="675"/>
    <n v="116637"/>
    <n v="3036"/>
    <x v="2"/>
    <n v="11"/>
    <x v="11"/>
    <n v="4"/>
    <n v="5"/>
    <x v="3"/>
    <x v="6"/>
    <n v="-4762"/>
    <n v="-2"/>
    <n v="-4"/>
    <n v="-4"/>
  </r>
  <r>
    <x v="676"/>
    <x v="676"/>
    <n v="223738"/>
    <n v="5822"/>
    <x v="2"/>
    <n v="11"/>
    <x v="11"/>
    <n v="4"/>
    <n v="6"/>
    <x v="4"/>
    <x v="6"/>
    <n v="-9198"/>
    <n v="-2"/>
    <n v="-4"/>
    <n v="-4"/>
  </r>
  <r>
    <x v="677"/>
    <x v="677"/>
    <n v="306935"/>
    <n v="7987"/>
    <x v="2"/>
    <n v="11"/>
    <x v="11"/>
    <n v="4"/>
    <n v="7"/>
    <x v="5"/>
    <x v="4"/>
    <n v="-26671"/>
    <n v="-3"/>
    <n v="-10"/>
    <n v="-10"/>
  </r>
  <r>
    <x v="678"/>
    <x v="678"/>
    <n v="140236"/>
    <n v="3640"/>
    <x v="2"/>
    <n v="11"/>
    <x v="11"/>
    <n v="4"/>
    <n v="8"/>
    <x v="6"/>
    <x v="6"/>
    <n v="-6100"/>
    <n v="-2"/>
    <n v="-5"/>
    <n v="-5"/>
  </r>
  <r>
    <x v="679"/>
    <x v="679"/>
    <n v="89949"/>
    <n v="2338"/>
    <x v="2"/>
    <n v="11"/>
    <x v="11"/>
    <n v="4"/>
    <n v="9"/>
    <x v="0"/>
    <x v="12"/>
    <n v="4294"/>
    <n v="2"/>
    <n v="5"/>
    <n v="5"/>
  </r>
  <r>
    <x v="680"/>
    <x v="680"/>
    <n v="143823"/>
    <n v="3744"/>
    <x v="2"/>
    <n v="11"/>
    <x v="11"/>
    <n v="4"/>
    <n v="10"/>
    <x v="1"/>
    <x v="4"/>
    <n v="-12387"/>
    <n v="-3"/>
    <n v="-9"/>
    <n v="-9"/>
  </r>
  <r>
    <x v="681"/>
    <x v="681"/>
    <n v="161666"/>
    <n v="4216"/>
    <x v="2"/>
    <n v="11"/>
    <x v="11"/>
    <n v="4"/>
    <n v="11"/>
    <x v="2"/>
    <x v="4"/>
    <n v="-13772"/>
    <n v="-3"/>
    <n v="-9"/>
    <n v="-9"/>
  </r>
  <r>
    <x v="682"/>
    <x v="682"/>
    <n v="153481"/>
    <n v="4000"/>
    <x v="2"/>
    <n v="11"/>
    <x v="11"/>
    <n v="4"/>
    <n v="12"/>
    <x v="3"/>
    <x v="4"/>
    <n v="-13243"/>
    <n v="-3"/>
    <n v="-9"/>
    <n v="-9"/>
  </r>
  <r>
    <x v="683"/>
    <x v="683"/>
    <n v="391310"/>
    <n v="10204"/>
    <x v="2"/>
    <n v="11"/>
    <x v="11"/>
    <n v="4"/>
    <n v="13"/>
    <x v="4"/>
    <x v="4"/>
    <n v="-33127"/>
    <n v="-3"/>
    <n v="-9"/>
    <n v="-9"/>
  </r>
  <r>
    <x v="684"/>
    <x v="684"/>
    <n v="413010"/>
    <n v="10769"/>
    <x v="2"/>
    <n v="11"/>
    <x v="11"/>
    <n v="4"/>
    <n v="14"/>
    <x v="5"/>
    <x v="4"/>
    <n v="-35073"/>
    <n v="-3"/>
    <n v="-9"/>
    <n v="-9"/>
  </r>
  <r>
    <x v="685"/>
    <x v="685"/>
    <n v="184673"/>
    <n v="4803"/>
    <x v="2"/>
    <n v="11"/>
    <x v="11"/>
    <n v="4"/>
    <n v="15"/>
    <x v="6"/>
    <x v="4"/>
    <n v="-15944"/>
    <n v="-3"/>
    <n v="-9"/>
    <n v="-9"/>
  </r>
  <r>
    <x v="686"/>
    <x v="686"/>
    <n v="193615"/>
    <n v="5042"/>
    <x v="2"/>
    <n v="11"/>
    <x v="11"/>
    <n v="4"/>
    <n v="16"/>
    <x v="0"/>
    <x v="4"/>
    <n v="-16423"/>
    <n v="-3"/>
    <n v="-9"/>
    <n v="-9"/>
  </r>
  <r>
    <x v="687"/>
    <x v="687"/>
    <n v="166625"/>
    <n v="4342"/>
    <x v="2"/>
    <n v="11"/>
    <x v="11"/>
    <n v="4"/>
    <n v="17"/>
    <x v="1"/>
    <x v="4"/>
    <n v="-14257"/>
    <n v="-3"/>
    <n v="-9"/>
    <n v="-9"/>
  </r>
  <r>
    <x v="688"/>
    <x v="688"/>
    <n v="161403"/>
    <n v="4202"/>
    <x v="2"/>
    <n v="11"/>
    <x v="11"/>
    <n v="4"/>
    <n v="18"/>
    <x v="2"/>
    <x v="4"/>
    <n v="-13931"/>
    <n v="-3"/>
    <n v="-9"/>
    <n v="-9"/>
  </r>
  <r>
    <x v="689"/>
    <x v="689"/>
    <n v="159318"/>
    <n v="4151"/>
    <x v="2"/>
    <n v="11"/>
    <x v="11"/>
    <n v="4"/>
    <n v="19"/>
    <x v="3"/>
    <x v="4"/>
    <n v="-13620"/>
    <n v="-3"/>
    <n v="-9"/>
    <n v="-9"/>
  </r>
  <r>
    <x v="690"/>
    <x v="690"/>
    <n v="328965"/>
    <n v="8567"/>
    <x v="2"/>
    <n v="11"/>
    <x v="11"/>
    <n v="4"/>
    <n v="20"/>
    <x v="4"/>
    <x v="4"/>
    <n v="-27931"/>
    <n v="-3"/>
    <n v="-9"/>
    <n v="-9"/>
  </r>
  <r>
    <x v="691"/>
    <x v="691"/>
    <n v="338720"/>
    <n v="8811"/>
    <x v="2"/>
    <n v="11"/>
    <x v="11"/>
    <n v="4"/>
    <n v="21"/>
    <x v="5"/>
    <x v="4"/>
    <n v="-29202"/>
    <n v="-3"/>
    <n v="-9"/>
    <n v="-9"/>
  </r>
  <r>
    <x v="692"/>
    <x v="692"/>
    <n v="167601"/>
    <n v="4345"/>
    <x v="2"/>
    <n v="11"/>
    <x v="11"/>
    <n v="4"/>
    <n v="22"/>
    <x v="6"/>
    <x v="4"/>
    <n v="-15096"/>
    <n v="-3"/>
    <n v="-10"/>
    <n v="-10"/>
  </r>
  <r>
    <x v="693"/>
    <x v="693"/>
    <n v="74376"/>
    <n v="1937"/>
    <x v="2"/>
    <n v="11"/>
    <x v="11"/>
    <n v="4"/>
    <n v="23"/>
    <x v="0"/>
    <x v="11"/>
    <n v="5336"/>
    <n v="3"/>
    <n v="7"/>
    <n v="7"/>
  </r>
  <r>
    <x v="694"/>
    <x v="694"/>
    <n v="121457"/>
    <n v="3160"/>
    <x v="2"/>
    <n v="11"/>
    <x v="11"/>
    <n v="4"/>
    <n v="24"/>
    <x v="1"/>
    <x v="4"/>
    <n v="-10435"/>
    <n v="-3"/>
    <n v="-9"/>
    <n v="-9"/>
  </r>
  <r>
    <x v="695"/>
    <x v="695"/>
    <n v="266054"/>
    <n v="6924"/>
    <x v="2"/>
    <n v="11"/>
    <x v="11"/>
    <n v="4"/>
    <n v="25"/>
    <x v="2"/>
    <x v="4"/>
    <n v="-22893"/>
    <n v="-3"/>
    <n v="-9"/>
    <n v="-9"/>
  </r>
  <r>
    <x v="696"/>
    <x v="696"/>
    <n v="355344"/>
    <n v="9273"/>
    <x v="2"/>
    <n v="11"/>
    <x v="11"/>
    <n v="4"/>
    <n v="26"/>
    <x v="3"/>
    <x v="2"/>
    <n v="-43901"/>
    <n v="-5"/>
    <n v="-14"/>
    <n v="-14"/>
  </r>
  <r>
    <x v="697"/>
    <x v="697"/>
    <n v="431326"/>
    <n v="11257"/>
    <x v="2"/>
    <n v="11"/>
    <x v="11"/>
    <n v="4"/>
    <n v="27"/>
    <x v="4"/>
    <x v="0"/>
    <n v="-55450"/>
    <n v="-5"/>
    <n v="-15"/>
    <n v="-15"/>
  </r>
  <r>
    <x v="698"/>
    <x v="698"/>
    <n v="498896"/>
    <n v="13019"/>
    <x v="2"/>
    <n v="11"/>
    <x v="11"/>
    <n v="4"/>
    <n v="28"/>
    <x v="5"/>
    <x v="0"/>
    <n v="-64256"/>
    <n v="-5"/>
    <n v="-15"/>
    <n v="-15"/>
  </r>
  <r>
    <x v="699"/>
    <x v="699"/>
    <n v="274094"/>
    <n v="7139"/>
    <x v="2"/>
    <n v="11"/>
    <x v="11"/>
    <n v="4"/>
    <n v="29"/>
    <x v="6"/>
    <x v="0"/>
    <n v="-35456"/>
    <n v="-5"/>
    <n v="-15"/>
    <n v="-15"/>
  </r>
  <r>
    <x v="700"/>
    <x v="700"/>
    <n v="283981"/>
    <n v="7423"/>
    <x v="2"/>
    <n v="11"/>
    <x v="11"/>
    <n v="4"/>
    <n v="30"/>
    <x v="0"/>
    <x v="4"/>
    <n v="-23327"/>
    <n v="-3"/>
    <n v="-9"/>
    <n v="-9"/>
  </r>
  <r>
    <x v="701"/>
    <x v="701"/>
    <n v="285839"/>
    <n v="7474"/>
    <x v="2"/>
    <n v="12"/>
    <x v="0"/>
    <n v="4"/>
    <n v="1"/>
    <x v="1"/>
    <x v="4"/>
    <n v="-23444"/>
    <n v="-3"/>
    <n v="-9"/>
    <n v="-9"/>
  </r>
  <r>
    <x v="702"/>
    <x v="702"/>
    <n v="269808"/>
    <n v="7056"/>
    <x v="2"/>
    <n v="12"/>
    <x v="0"/>
    <n v="4"/>
    <n v="2"/>
    <x v="2"/>
    <x v="4"/>
    <n v="-21370"/>
    <n v="-3"/>
    <n v="-9"/>
    <n v="-9"/>
  </r>
  <r>
    <x v="703"/>
    <x v="703"/>
    <n v="219110"/>
    <n v="5732"/>
    <x v="2"/>
    <n v="12"/>
    <x v="0"/>
    <n v="4"/>
    <n v="3"/>
    <x v="3"/>
    <x v="4"/>
    <n v="-18062"/>
    <n v="-3"/>
    <n v="-9"/>
    <n v="-9"/>
  </r>
  <r>
    <x v="704"/>
    <x v="704"/>
    <n v="345450"/>
    <n v="9038"/>
    <x v="2"/>
    <n v="12"/>
    <x v="0"/>
    <n v="4"/>
    <n v="4"/>
    <x v="4"/>
    <x v="4"/>
    <n v="-27759"/>
    <n v="-3"/>
    <n v="-9"/>
    <n v="-9"/>
  </r>
  <r>
    <x v="705"/>
    <x v="705"/>
    <n v="410385"/>
    <n v="10737"/>
    <x v="2"/>
    <n v="12"/>
    <x v="0"/>
    <n v="4"/>
    <n v="5"/>
    <x v="5"/>
    <x v="4"/>
    <n v="-31857"/>
    <n v="-3"/>
    <n v="-8"/>
    <n v="-8"/>
  </r>
  <r>
    <x v="706"/>
    <x v="706"/>
    <n v="210461"/>
    <n v="5505"/>
    <x v="2"/>
    <n v="12"/>
    <x v="0"/>
    <n v="4"/>
    <n v="6"/>
    <x v="6"/>
    <x v="4"/>
    <n v="-15036"/>
    <n v="-3"/>
    <n v="-8"/>
    <n v="-8"/>
  </r>
  <r>
    <x v="707"/>
    <x v="707"/>
    <n v="84000"/>
    <n v="2198"/>
    <x v="2"/>
    <n v="12"/>
    <x v="0"/>
    <n v="4"/>
    <n v="7"/>
    <x v="0"/>
    <x v="11"/>
    <n v="6442"/>
    <n v="3"/>
    <n v="7"/>
    <n v="7"/>
  </r>
  <r>
    <x v="708"/>
    <x v="708"/>
    <n v="121640"/>
    <n v="3190"/>
    <x v="2"/>
    <n v="12"/>
    <x v="0"/>
    <n v="4"/>
    <n v="8"/>
    <x v="1"/>
    <x v="6"/>
    <n v="-3991"/>
    <n v="-1"/>
    <n v="-3"/>
    <n v="-3"/>
  </r>
  <r>
    <x v="709"/>
    <x v="709"/>
    <n v="145443"/>
    <n v="3814"/>
    <x v="2"/>
    <n v="12"/>
    <x v="0"/>
    <n v="4"/>
    <n v="9"/>
    <x v="2"/>
    <x v="6"/>
    <n v="-4158"/>
    <n v="-1"/>
    <n v="-3"/>
    <n v="-3"/>
  </r>
  <r>
    <x v="710"/>
    <x v="710"/>
    <n v="137726"/>
    <n v="3610"/>
    <x v="2"/>
    <n v="12"/>
    <x v="0"/>
    <n v="4"/>
    <n v="10"/>
    <x v="3"/>
    <x v="6"/>
    <n v="-4542"/>
    <n v="-1"/>
    <n v="-3"/>
    <n v="-3"/>
  </r>
  <r>
    <x v="711"/>
    <x v="711"/>
    <n v="237672"/>
    <n v="6227"/>
    <x v="2"/>
    <n v="12"/>
    <x v="0"/>
    <n v="4"/>
    <n v="11"/>
    <x v="4"/>
    <x v="6"/>
    <n v="-8000"/>
    <n v="-1"/>
    <n v="-3"/>
    <n v="-3"/>
  </r>
  <r>
    <x v="712"/>
    <x v="712"/>
    <n v="359621"/>
    <n v="9422"/>
    <x v="2"/>
    <n v="12"/>
    <x v="0"/>
    <n v="4"/>
    <n v="12"/>
    <x v="5"/>
    <x v="4"/>
    <n v="-26132"/>
    <n v="-3"/>
    <n v="-8"/>
    <n v="-8"/>
  </r>
  <r>
    <x v="713"/>
    <x v="713"/>
    <n v="191390"/>
    <n v="5014"/>
    <x v="2"/>
    <n v="12"/>
    <x v="0"/>
    <n v="4"/>
    <n v="13"/>
    <x v="6"/>
    <x v="6"/>
    <n v="-5968"/>
    <n v="-1"/>
    <n v="-3"/>
    <n v="-3"/>
  </r>
  <r>
    <x v="714"/>
    <x v="356"/>
    <n v="179871"/>
    <n v="4715"/>
    <x v="2"/>
    <n v="12"/>
    <x v="0"/>
    <n v="4"/>
    <n v="14"/>
    <x v="0"/>
    <x v="6"/>
    <n v="-6038"/>
    <n v="-1"/>
    <n v="-3"/>
    <n v="-3"/>
  </r>
  <r>
    <x v="715"/>
    <x v="714"/>
    <n v="237123"/>
    <n v="6212"/>
    <x v="2"/>
    <n v="12"/>
    <x v="0"/>
    <n v="4"/>
    <n v="15"/>
    <x v="1"/>
    <x v="4"/>
    <n v="-16852"/>
    <n v="-3"/>
    <n v="-8"/>
    <n v="-8"/>
  </r>
  <r>
    <x v="716"/>
    <x v="715"/>
    <n v="251494"/>
    <n v="6585"/>
    <x v="2"/>
    <n v="12"/>
    <x v="0"/>
    <n v="4"/>
    <n v="16"/>
    <x v="2"/>
    <x v="5"/>
    <n v="-17026"/>
    <n v="-3"/>
    <n v="-7"/>
    <n v="-7"/>
  </r>
  <r>
    <x v="717"/>
    <x v="716"/>
    <n v="230994"/>
    <n v="6051"/>
    <x v="2"/>
    <n v="12"/>
    <x v="0"/>
    <n v="4"/>
    <n v="17"/>
    <x v="3"/>
    <x v="4"/>
    <n v="-17216"/>
    <n v="-3"/>
    <n v="-8"/>
    <n v="-8"/>
  </r>
  <r>
    <x v="718"/>
    <x v="717"/>
    <n v="295855"/>
    <n v="7750"/>
    <x v="2"/>
    <n v="12"/>
    <x v="0"/>
    <n v="4"/>
    <n v="18"/>
    <x v="4"/>
    <x v="4"/>
    <n v="-22292"/>
    <n v="-3"/>
    <n v="-8"/>
    <n v="-8"/>
  </r>
  <r>
    <x v="719"/>
    <x v="718"/>
    <n v="362223"/>
    <n v="9490"/>
    <x v="2"/>
    <n v="12"/>
    <x v="0"/>
    <n v="4"/>
    <n v="19"/>
    <x v="5"/>
    <x v="5"/>
    <n v="-24716"/>
    <n v="-3"/>
    <n v="-7"/>
    <n v="-7"/>
  </r>
  <r>
    <x v="720"/>
    <x v="719"/>
    <n v="167422"/>
    <n v="4382"/>
    <x v="2"/>
    <n v="12"/>
    <x v="0"/>
    <n v="4"/>
    <n v="20"/>
    <x v="6"/>
    <x v="4"/>
    <n v="-12109"/>
    <n v="-3"/>
    <n v="-8"/>
    <n v="-8"/>
  </r>
  <r>
    <x v="721"/>
    <x v="720"/>
    <n v="312785"/>
    <n v="8196"/>
    <x v="2"/>
    <n v="12"/>
    <x v="0"/>
    <n v="4"/>
    <n v="21"/>
    <x v="0"/>
    <x v="4"/>
    <n v="-23542"/>
    <n v="-3"/>
    <n v="-8"/>
    <n v="-8"/>
  </r>
  <r>
    <x v="722"/>
    <x v="721"/>
    <n v="338300"/>
    <n v="8863"/>
    <x v="2"/>
    <n v="12"/>
    <x v="0"/>
    <n v="4"/>
    <n v="22"/>
    <x v="1"/>
    <x v="4"/>
    <n v="-25174"/>
    <n v="-3"/>
    <n v="-8"/>
    <n v="-8"/>
  </r>
  <r>
    <x v="723"/>
    <x v="722"/>
    <n v="249584"/>
    <n v="6534"/>
    <x v="2"/>
    <n v="12"/>
    <x v="0"/>
    <n v="4"/>
    <n v="23"/>
    <x v="2"/>
    <x v="11"/>
    <n v="18746"/>
    <n v="3"/>
    <n v="7"/>
    <n v="7"/>
  </r>
  <r>
    <x v="724"/>
    <x v="723"/>
    <n v="364396"/>
    <n v="9540"/>
    <x v="2"/>
    <n v="12"/>
    <x v="0"/>
    <n v="4"/>
    <n v="24"/>
    <x v="3"/>
    <x v="11"/>
    <n v="27832"/>
    <n v="3"/>
    <n v="7"/>
    <n v="7"/>
  </r>
  <r>
    <x v="725"/>
    <x v="724"/>
    <n v="124364"/>
    <n v="3256"/>
    <x v="2"/>
    <n v="12"/>
    <x v="0"/>
    <n v="4"/>
    <n v="25"/>
    <x v="4"/>
    <x v="11"/>
    <n v="9365"/>
    <n v="3"/>
    <n v="7"/>
    <n v="7"/>
  </r>
  <r>
    <x v="726"/>
    <x v="725"/>
    <n v="76876"/>
    <n v="2013"/>
    <x v="2"/>
    <n v="12"/>
    <x v="0"/>
    <n v="4"/>
    <n v="26"/>
    <x v="5"/>
    <x v="11"/>
    <n v="5902"/>
    <n v="3"/>
    <n v="7"/>
    <n v="7"/>
  </r>
  <r>
    <x v="727"/>
    <x v="726"/>
    <n v="64616"/>
    <n v="1692"/>
    <x v="2"/>
    <n v="12"/>
    <x v="0"/>
    <n v="4"/>
    <n v="27"/>
    <x v="6"/>
    <x v="11"/>
    <n v="4907"/>
    <n v="3"/>
    <n v="7"/>
    <n v="7"/>
  </r>
  <r>
    <x v="728"/>
    <x v="727"/>
    <n v="123501"/>
    <n v="3234"/>
    <x v="2"/>
    <n v="12"/>
    <x v="0"/>
    <n v="4"/>
    <n v="28"/>
    <x v="0"/>
    <x v="11"/>
    <n v="9520"/>
    <n v="3"/>
    <n v="7"/>
    <n v="7"/>
  </r>
  <r>
    <x v="729"/>
    <x v="728"/>
    <n v="175378"/>
    <n v="4592"/>
    <x v="2"/>
    <n v="12"/>
    <x v="0"/>
    <n v="4"/>
    <n v="29"/>
    <x v="1"/>
    <x v="4"/>
    <n v="-14111"/>
    <n v="-3"/>
    <n v="-9"/>
    <n v="-9"/>
  </r>
  <r>
    <x v="730"/>
    <x v="729"/>
    <n v="227060"/>
    <n v="5945"/>
    <x v="2"/>
    <n v="12"/>
    <x v="0"/>
    <n v="4"/>
    <n v="30"/>
    <x v="2"/>
    <x v="4"/>
    <n v="-18477"/>
    <n v="-3"/>
    <n v="-9"/>
    <n v="-9"/>
  </r>
  <r>
    <x v="731"/>
    <x v="730"/>
    <n v="353930"/>
    <n v="9266"/>
    <x v="2"/>
    <n v="12"/>
    <x v="0"/>
    <n v="4"/>
    <n v="31"/>
    <x v="3"/>
    <x v="4"/>
    <n v="-28472"/>
    <n v="-3"/>
    <n v="-9"/>
    <n v="-9"/>
  </r>
  <r>
    <x v="732"/>
    <x v="731"/>
    <n v="121448"/>
    <n v="3179"/>
    <x v="3"/>
    <n v="1"/>
    <x v="1"/>
    <n v="1"/>
    <n v="1"/>
    <x v="4"/>
    <x v="4"/>
    <n v="-9798"/>
    <n v="-3"/>
    <n v="-9"/>
    <n v="-9"/>
  </r>
  <r>
    <x v="733"/>
    <x v="732"/>
    <n v="285676"/>
    <n v="7479"/>
    <x v="3"/>
    <n v="1"/>
    <x v="1"/>
    <n v="1"/>
    <n v="2"/>
    <x v="5"/>
    <x v="4"/>
    <n v="-23255"/>
    <n v="-3"/>
    <n v="-9"/>
    <n v="-9"/>
  </r>
  <r>
    <x v="734"/>
    <x v="733"/>
    <n v="179309"/>
    <n v="4694"/>
    <x v="3"/>
    <n v="1"/>
    <x v="1"/>
    <n v="1"/>
    <n v="3"/>
    <x v="6"/>
    <x v="4"/>
    <n v="-14781"/>
    <n v="-3"/>
    <n v="-9"/>
    <n v="-9"/>
  </r>
  <r>
    <x v="735"/>
    <x v="734"/>
    <n v="299576"/>
    <n v="7843"/>
    <x v="3"/>
    <n v="1"/>
    <x v="1"/>
    <n v="1"/>
    <n v="4"/>
    <x v="0"/>
    <x v="4"/>
    <n v="-24586"/>
    <n v="-3"/>
    <n v="-9"/>
    <n v="-9"/>
  </r>
  <r>
    <x v="736"/>
    <x v="735"/>
    <n v="234642"/>
    <n v="6150"/>
    <x v="3"/>
    <n v="1"/>
    <x v="1"/>
    <n v="1"/>
    <n v="5"/>
    <x v="1"/>
    <x v="4"/>
    <n v="-18904"/>
    <n v="-3"/>
    <n v="-9"/>
    <n v="-9"/>
  </r>
  <r>
    <x v="737"/>
    <x v="736"/>
    <n v="91611"/>
    <n v="2401"/>
    <x v="3"/>
    <n v="1"/>
    <x v="1"/>
    <n v="1"/>
    <n v="6"/>
    <x v="2"/>
    <x v="11"/>
    <n v="7036"/>
    <n v="3"/>
    <n v="7"/>
    <n v="7"/>
  </r>
  <r>
    <x v="738"/>
    <x v="737"/>
    <n v="68989"/>
    <n v="1808"/>
    <x v="3"/>
    <n v="1"/>
    <x v="1"/>
    <n v="1"/>
    <n v="7"/>
    <x v="3"/>
    <x v="11"/>
    <n v="5412"/>
    <n v="3"/>
    <n v="7"/>
    <n v="7"/>
  </r>
  <r>
    <x v="739"/>
    <x v="738"/>
    <n v="99022"/>
    <n v="2594"/>
    <x v="3"/>
    <n v="1"/>
    <x v="1"/>
    <n v="1"/>
    <n v="8"/>
    <x v="4"/>
    <x v="11"/>
    <n v="7571"/>
    <n v="3"/>
    <n v="7"/>
    <n v="7"/>
  </r>
  <r>
    <x v="740"/>
    <x v="739"/>
    <n v="124963"/>
    <n v="3274"/>
    <x v="3"/>
    <n v="1"/>
    <x v="1"/>
    <n v="1"/>
    <n v="9"/>
    <x v="5"/>
    <x v="11"/>
    <n v="9666"/>
    <n v="3"/>
    <n v="7"/>
    <n v="7"/>
  </r>
  <r>
    <x v="741"/>
    <x v="740"/>
    <n v="84299"/>
    <n v="2207"/>
    <x v="3"/>
    <n v="1"/>
    <x v="1"/>
    <n v="1"/>
    <n v="10"/>
    <x v="6"/>
    <x v="11"/>
    <n v="6474"/>
    <n v="3"/>
    <n v="7"/>
    <n v="7"/>
  </r>
  <r>
    <x v="742"/>
    <x v="741"/>
    <n v="112550"/>
    <n v="2949"/>
    <x v="3"/>
    <n v="1"/>
    <x v="1"/>
    <n v="1"/>
    <n v="11"/>
    <x v="0"/>
    <x v="11"/>
    <n v="8823"/>
    <n v="3"/>
    <n v="7"/>
    <n v="7"/>
  </r>
  <r>
    <x v="743"/>
    <x v="742"/>
    <n v="92227"/>
    <n v="2417"/>
    <x v="3"/>
    <n v="1"/>
    <x v="1"/>
    <n v="1"/>
    <n v="12"/>
    <x v="1"/>
    <x v="11"/>
    <n v="7219"/>
    <n v="3"/>
    <n v="7"/>
    <n v="7"/>
  </r>
  <r>
    <x v="744"/>
    <x v="743"/>
    <n v="62760"/>
    <n v="1644"/>
    <x v="3"/>
    <n v="1"/>
    <x v="1"/>
    <n v="1"/>
    <n v="13"/>
    <x v="2"/>
    <x v="11"/>
    <n v="4827"/>
    <n v="3"/>
    <n v="7"/>
    <n v="7"/>
  </r>
  <r>
    <x v="745"/>
    <x v="744"/>
    <n v="57191"/>
    <n v="1499"/>
    <x v="3"/>
    <n v="1"/>
    <x v="1"/>
    <n v="1"/>
    <n v="14"/>
    <x v="3"/>
    <x v="11"/>
    <n v="4494"/>
    <n v="3"/>
    <n v="7"/>
    <n v="7"/>
  </r>
  <r>
    <x v="746"/>
    <x v="745"/>
    <n v="139245"/>
    <n v="3648"/>
    <x v="3"/>
    <n v="1"/>
    <x v="1"/>
    <n v="1"/>
    <n v="15"/>
    <x v="4"/>
    <x v="11"/>
    <n v="10762"/>
    <n v="3"/>
    <n v="7"/>
    <n v="7"/>
  </r>
  <r>
    <x v="747"/>
    <x v="746"/>
    <n v="177577"/>
    <n v="4652"/>
    <x v="3"/>
    <n v="1"/>
    <x v="1"/>
    <n v="1"/>
    <n v="16"/>
    <x v="5"/>
    <x v="11"/>
    <n v="13710"/>
    <n v="3"/>
    <n v="7"/>
    <n v="7"/>
  </r>
  <r>
    <x v="748"/>
    <x v="747"/>
    <n v="86018"/>
    <n v="2252"/>
    <x v="3"/>
    <n v="1"/>
    <x v="1"/>
    <n v="1"/>
    <n v="17"/>
    <x v="6"/>
    <x v="11"/>
    <n v="6577"/>
    <n v="3"/>
    <n v="7"/>
    <n v="7"/>
  </r>
  <r>
    <x v="749"/>
    <x v="748"/>
    <n v="89961"/>
    <n v="2357"/>
    <x v="3"/>
    <n v="1"/>
    <x v="1"/>
    <n v="1"/>
    <n v="18"/>
    <x v="0"/>
    <x v="11"/>
    <n v="6986"/>
    <n v="3"/>
    <n v="7"/>
    <n v="7"/>
  </r>
  <r>
    <x v="750"/>
    <x v="749"/>
    <n v="65453"/>
    <n v="1715"/>
    <x v="3"/>
    <n v="1"/>
    <x v="1"/>
    <n v="1"/>
    <n v="19"/>
    <x v="1"/>
    <x v="11"/>
    <n v="5060"/>
    <n v="3"/>
    <n v="7"/>
    <n v="7"/>
  </r>
  <r>
    <x v="751"/>
    <x v="750"/>
    <n v="182351"/>
    <n v="4776"/>
    <x v="3"/>
    <n v="1"/>
    <x v="1"/>
    <n v="1"/>
    <n v="20"/>
    <x v="2"/>
    <x v="0"/>
    <n v="-22761"/>
    <n v="-5"/>
    <n v="-14"/>
    <n v="-14"/>
  </r>
  <r>
    <x v="752"/>
    <x v="751"/>
    <n v="61894"/>
    <n v="1628"/>
    <x v="3"/>
    <n v="1"/>
    <x v="1"/>
    <n v="1"/>
    <n v="21"/>
    <x v="3"/>
    <x v="11"/>
    <n v="5152"/>
    <n v="3"/>
    <n v="8"/>
    <n v="8"/>
  </r>
  <r>
    <x v="753"/>
    <x v="752"/>
    <n v="294323"/>
    <n v="7806"/>
    <x v="3"/>
    <n v="1"/>
    <x v="1"/>
    <n v="1"/>
    <n v="22"/>
    <x v="4"/>
    <x v="2"/>
    <n v="-27374"/>
    <n v="-4"/>
    <n v="-10"/>
    <n v="-10"/>
  </r>
  <r>
    <x v="754"/>
    <x v="753"/>
    <n v="346093"/>
    <n v="9210"/>
    <x v="3"/>
    <n v="1"/>
    <x v="1"/>
    <n v="1"/>
    <n v="23"/>
    <x v="5"/>
    <x v="2"/>
    <n v="-30821"/>
    <n v="-3"/>
    <n v="-10"/>
    <n v="-10"/>
  </r>
  <r>
    <x v="755"/>
    <x v="754"/>
    <n v="163506"/>
    <n v="4351"/>
    <x v="3"/>
    <n v="1"/>
    <x v="1"/>
    <n v="1"/>
    <n v="24"/>
    <x v="6"/>
    <x v="2"/>
    <n v="-14367"/>
    <n v="-3"/>
    <n v="-10"/>
    <n v="-10"/>
  </r>
  <r>
    <x v="756"/>
    <x v="755"/>
    <n v="234622"/>
    <n v="6278"/>
    <x v="3"/>
    <n v="1"/>
    <x v="1"/>
    <n v="1"/>
    <n v="25"/>
    <x v="0"/>
    <x v="2"/>
    <n v="-19451"/>
    <n v="-3"/>
    <n v="-9"/>
    <n v="-9"/>
  </r>
  <r>
    <x v="757"/>
    <x v="756"/>
    <n v="221932"/>
    <n v="5992"/>
    <x v="3"/>
    <n v="1"/>
    <x v="1"/>
    <n v="1"/>
    <n v="26"/>
    <x v="1"/>
    <x v="2"/>
    <n v="-16734"/>
    <n v="-3"/>
    <n v="-8"/>
    <n v="-8"/>
  </r>
  <r>
    <x v="758"/>
    <x v="757"/>
    <n v="231730"/>
    <n v="6265"/>
    <x v="3"/>
    <n v="1"/>
    <x v="1"/>
    <n v="1"/>
    <n v="27"/>
    <x v="2"/>
    <x v="2"/>
    <n v="-17278"/>
    <n v="-3"/>
    <n v="-8"/>
    <n v="-8"/>
  </r>
  <r>
    <x v="759"/>
    <x v="758"/>
    <n v="210640"/>
    <n v="5723"/>
    <x v="3"/>
    <n v="1"/>
    <x v="1"/>
    <n v="1"/>
    <n v="28"/>
    <x v="3"/>
    <x v="2"/>
    <n v="-14872"/>
    <n v="-3"/>
    <n v="-8"/>
    <n v="-8"/>
  </r>
  <r>
    <x v="760"/>
    <x v="759"/>
    <n v="437199"/>
    <n v="11900"/>
    <x v="3"/>
    <n v="1"/>
    <x v="1"/>
    <n v="1"/>
    <n v="29"/>
    <x v="4"/>
    <x v="0"/>
    <n v="-39215"/>
    <n v="-3"/>
    <n v="-10"/>
    <n v="-10"/>
  </r>
  <r>
    <x v="761"/>
    <x v="760"/>
    <n v="561872"/>
    <n v="15345"/>
    <x v="3"/>
    <n v="1"/>
    <x v="1"/>
    <n v="1"/>
    <n v="30"/>
    <x v="5"/>
    <x v="0"/>
    <n v="-49269"/>
    <n v="-3"/>
    <n v="-10"/>
    <n v="-10"/>
  </r>
  <r>
    <x v="762"/>
    <x v="761"/>
    <n v="238662"/>
    <n v="6525"/>
    <x v="3"/>
    <n v="1"/>
    <x v="1"/>
    <n v="1"/>
    <n v="31"/>
    <x v="6"/>
    <x v="0"/>
    <n v="-20558"/>
    <n v="-3"/>
    <n v="-9"/>
    <n v="-9"/>
  </r>
  <r>
    <x v="763"/>
    <x v="762"/>
    <n v="371177"/>
    <n v="10153"/>
    <x v="3"/>
    <n v="2"/>
    <x v="2"/>
    <n v="1"/>
    <n v="1"/>
    <x v="0"/>
    <x v="0"/>
    <n v="-32173"/>
    <n v="-3"/>
    <n v="-9"/>
    <n v="-9"/>
  </r>
  <r>
    <x v="764"/>
    <x v="763"/>
    <n v="295646"/>
    <n v="8116"/>
    <x v="3"/>
    <n v="2"/>
    <x v="2"/>
    <n v="1"/>
    <n v="2"/>
    <x v="1"/>
    <x v="2"/>
    <n v="-17529"/>
    <n v="-2"/>
    <n v="-6"/>
    <n v="-6"/>
  </r>
  <r>
    <x v="765"/>
    <x v="764"/>
    <n v="280392"/>
    <n v="7712"/>
    <x v="3"/>
    <n v="2"/>
    <x v="2"/>
    <n v="1"/>
    <n v="3"/>
    <x v="2"/>
    <x v="2"/>
    <n v="-16233"/>
    <n v="-2"/>
    <n v="-6"/>
    <n v="-6"/>
  </r>
  <r>
    <x v="766"/>
    <x v="765"/>
    <n v="209372"/>
    <n v="5759"/>
    <x v="3"/>
    <n v="2"/>
    <x v="2"/>
    <n v="1"/>
    <n v="4"/>
    <x v="3"/>
    <x v="2"/>
    <n v="-11594"/>
    <n v="-2"/>
    <n v="-6"/>
    <n v="-6"/>
  </r>
  <r>
    <x v="767"/>
    <x v="766"/>
    <n v="345288"/>
    <n v="9501"/>
    <x v="3"/>
    <n v="2"/>
    <x v="2"/>
    <n v="1"/>
    <n v="5"/>
    <x v="4"/>
    <x v="2"/>
    <n v="-19539"/>
    <n v="-2"/>
    <n v="-6"/>
    <n v="-6"/>
  </r>
  <r>
    <x v="768"/>
    <x v="767"/>
    <n v="393884"/>
    <n v="10840"/>
    <x v="3"/>
    <n v="2"/>
    <x v="2"/>
    <n v="1"/>
    <n v="6"/>
    <x v="5"/>
    <x v="2"/>
    <n v="-22322"/>
    <n v="-2"/>
    <n v="-6"/>
    <n v="-6"/>
  </r>
  <r>
    <x v="769"/>
    <x v="768"/>
    <n v="185041"/>
    <n v="5089"/>
    <x v="3"/>
    <n v="2"/>
    <x v="2"/>
    <n v="1"/>
    <n v="7"/>
    <x v="6"/>
    <x v="2"/>
    <n v="-10459"/>
    <n v="-2"/>
    <n v="-6"/>
    <n v="-6"/>
  </r>
  <r>
    <x v="770"/>
    <x v="769"/>
    <n v="221373"/>
    <n v="6087"/>
    <x v="3"/>
    <n v="2"/>
    <x v="2"/>
    <n v="1"/>
    <n v="8"/>
    <x v="0"/>
    <x v="2"/>
    <n v="-12883"/>
    <n v="-2"/>
    <n v="-6"/>
    <n v="-6"/>
  </r>
  <r>
    <x v="771"/>
    <x v="770"/>
    <n v="74682"/>
    <n v="2053"/>
    <x v="3"/>
    <n v="2"/>
    <x v="2"/>
    <n v="1"/>
    <n v="9"/>
    <x v="1"/>
    <x v="11"/>
    <n v="9813"/>
    <n v="5"/>
    <n v="12"/>
    <n v="12"/>
  </r>
  <r>
    <x v="772"/>
    <x v="771"/>
    <n v="66380"/>
    <n v="1825"/>
    <x v="3"/>
    <n v="2"/>
    <x v="2"/>
    <n v="1"/>
    <n v="10"/>
    <x v="2"/>
    <x v="9"/>
    <n v="10282"/>
    <n v="6"/>
    <n v="13"/>
    <n v="13"/>
  </r>
  <r>
    <x v="773"/>
    <x v="772"/>
    <n v="55491"/>
    <n v="1525"/>
    <x v="3"/>
    <n v="2"/>
    <x v="2"/>
    <n v="1"/>
    <n v="11"/>
    <x v="3"/>
    <x v="9"/>
    <n v="8544"/>
    <n v="6"/>
    <n v="13"/>
    <n v="13"/>
  </r>
  <r>
    <x v="774"/>
    <x v="773"/>
    <n v="129583"/>
    <n v="3542"/>
    <x v="3"/>
    <n v="2"/>
    <x v="2"/>
    <n v="1"/>
    <n v="12"/>
    <x v="4"/>
    <x v="9"/>
    <n v="19256"/>
    <n v="5"/>
    <n v="13"/>
    <n v="13"/>
  </r>
  <r>
    <x v="775"/>
    <x v="774"/>
    <n v="150539"/>
    <n v="4105"/>
    <x v="3"/>
    <n v="2"/>
    <x v="2"/>
    <n v="1"/>
    <n v="13"/>
    <x v="5"/>
    <x v="9"/>
    <n v="22003"/>
    <n v="5"/>
    <n v="13"/>
    <n v="13"/>
  </r>
  <r>
    <x v="776"/>
    <x v="775"/>
    <n v="76379"/>
    <n v="2094"/>
    <x v="3"/>
    <n v="2"/>
    <x v="2"/>
    <n v="1"/>
    <n v="14"/>
    <x v="6"/>
    <x v="9"/>
    <n v="11613"/>
    <n v="6"/>
    <n v="13"/>
    <n v="13"/>
  </r>
  <r>
    <x v="777"/>
    <x v="776"/>
    <n v="108669"/>
    <n v="2940"/>
    <x v="3"/>
    <n v="2"/>
    <x v="2"/>
    <n v="1"/>
    <n v="15"/>
    <x v="0"/>
    <x v="9"/>
    <n v="14776"/>
    <n v="5"/>
    <n v="12"/>
    <n v="12"/>
  </r>
  <r>
    <x v="778"/>
    <x v="777"/>
    <n v="68269"/>
    <n v="1841"/>
    <x v="3"/>
    <n v="2"/>
    <x v="2"/>
    <n v="1"/>
    <n v="16"/>
    <x v="1"/>
    <x v="9"/>
    <n v="9075"/>
    <n v="5"/>
    <n v="12"/>
    <n v="12"/>
  </r>
  <r>
    <x v="779"/>
    <x v="778"/>
    <n v="167522"/>
    <n v="4529"/>
    <x v="3"/>
    <n v="2"/>
    <x v="2"/>
    <n v="1"/>
    <n v="17"/>
    <x v="2"/>
    <x v="4"/>
    <n v="-8559"/>
    <n v="-2"/>
    <n v="-5"/>
    <n v="-5"/>
  </r>
  <r>
    <x v="780"/>
    <x v="779"/>
    <n v="61493"/>
    <n v="1658"/>
    <x v="3"/>
    <n v="2"/>
    <x v="2"/>
    <n v="1"/>
    <n v="18"/>
    <x v="3"/>
    <x v="9"/>
    <n v="8105"/>
    <n v="5"/>
    <n v="12"/>
    <n v="12"/>
  </r>
  <r>
    <x v="781"/>
    <x v="780"/>
    <n v="143446"/>
    <n v="3841"/>
    <x v="3"/>
    <n v="2"/>
    <x v="2"/>
    <n v="1"/>
    <n v="19"/>
    <x v="4"/>
    <x v="9"/>
    <n v="17829"/>
    <n v="5"/>
    <n v="11"/>
    <n v="11"/>
  </r>
  <r>
    <x v="782"/>
    <x v="781"/>
    <n v="345446"/>
    <n v="9260"/>
    <x v="3"/>
    <n v="2"/>
    <x v="2"/>
    <n v="1"/>
    <n v="20"/>
    <x v="5"/>
    <x v="4"/>
    <n v="-20231"/>
    <n v="-2"/>
    <n v="-6"/>
    <n v="-6"/>
  </r>
  <r>
    <x v="783"/>
    <x v="782"/>
    <n v="86455"/>
    <n v="2308"/>
    <x v="3"/>
    <n v="2"/>
    <x v="2"/>
    <n v="1"/>
    <n v="21"/>
    <x v="6"/>
    <x v="9"/>
    <n v="10502"/>
    <n v="5"/>
    <n v="11"/>
    <n v="11"/>
  </r>
  <r>
    <x v="784"/>
    <x v="783"/>
    <n v="75961"/>
    <n v="2028"/>
    <x v="3"/>
    <n v="2"/>
    <x v="2"/>
    <n v="1"/>
    <n v="22"/>
    <x v="0"/>
    <x v="9"/>
    <n v="9264"/>
    <n v="5"/>
    <n v="11"/>
    <n v="11"/>
  </r>
  <r>
    <x v="785"/>
    <x v="784"/>
    <n v="49072"/>
    <n v="1301"/>
    <x v="3"/>
    <n v="2"/>
    <x v="2"/>
    <n v="1"/>
    <n v="23"/>
    <x v="1"/>
    <x v="9"/>
    <n v="5541"/>
    <n v="4"/>
    <n v="10"/>
    <n v="10"/>
  </r>
  <r>
    <x v="786"/>
    <x v="785"/>
    <n v="81738"/>
    <n v="2213"/>
    <x v="3"/>
    <n v="2"/>
    <x v="2"/>
    <n v="1"/>
    <n v="24"/>
    <x v="2"/>
    <x v="6"/>
    <n v="-207"/>
    <n v="0"/>
    <n v="0"/>
    <n v="0"/>
  </r>
  <r>
    <x v="787"/>
    <x v="786"/>
    <n v="162597"/>
    <n v="4404"/>
    <x v="3"/>
    <n v="2"/>
    <x v="2"/>
    <n v="1"/>
    <n v="25"/>
    <x v="3"/>
    <x v="6"/>
    <n v="-1650"/>
    <n v="0"/>
    <n v="-1"/>
    <n v="-1"/>
  </r>
  <r>
    <x v="788"/>
    <x v="787"/>
    <n v="183103"/>
    <n v="4935"/>
    <x v="3"/>
    <n v="2"/>
    <x v="2"/>
    <n v="1"/>
    <n v="26"/>
    <x v="4"/>
    <x v="8"/>
    <n v="5633"/>
    <n v="1"/>
    <n v="3"/>
    <n v="3"/>
  </r>
  <r>
    <x v="789"/>
    <x v="788"/>
    <n v="210033"/>
    <n v="5609"/>
    <x v="3"/>
    <n v="2"/>
    <x v="2"/>
    <n v="1"/>
    <n v="27"/>
    <x v="5"/>
    <x v="7"/>
    <n v="5919"/>
    <n v="1"/>
    <n v="3"/>
    <n v="3"/>
  </r>
  <r>
    <x v="790"/>
    <x v="789"/>
    <n v="129939"/>
    <n v="3452"/>
    <x v="3"/>
    <n v="2"/>
    <x v="2"/>
    <n v="1"/>
    <n v="28"/>
    <x v="6"/>
    <x v="7"/>
    <n v="5057"/>
    <n v="1"/>
    <n v="4"/>
    <n v="4"/>
  </r>
  <r>
    <x v="791"/>
    <x v="790"/>
    <n v="160333"/>
    <n v="4270"/>
    <x v="3"/>
    <n v="2"/>
    <x v="2"/>
    <n v="1"/>
    <n v="29"/>
    <x v="0"/>
    <x v="8"/>
    <n v="2747"/>
    <n v="1"/>
    <n v="2"/>
    <n v="2"/>
  </r>
  <r>
    <x v="792"/>
    <x v="791"/>
    <n v="182962"/>
    <n v="4719"/>
    <x v="3"/>
    <n v="3"/>
    <x v="3"/>
    <n v="1"/>
    <n v="1"/>
    <x v="1"/>
    <x v="8"/>
    <n v="-2134"/>
    <n v="0"/>
    <n v="-1"/>
    <n v="-1"/>
  </r>
  <r>
    <x v="793"/>
    <x v="792"/>
    <n v="174429"/>
    <n v="4451"/>
    <x v="3"/>
    <n v="3"/>
    <x v="3"/>
    <n v="1"/>
    <n v="2"/>
    <x v="2"/>
    <x v="8"/>
    <n v="-3233"/>
    <n v="-1"/>
    <n v="-2"/>
    <n v="-2"/>
  </r>
  <r>
    <x v="794"/>
    <x v="793"/>
    <n v="131962"/>
    <n v="3364"/>
    <x v="3"/>
    <n v="3"/>
    <x v="3"/>
    <n v="1"/>
    <n v="3"/>
    <x v="3"/>
    <x v="7"/>
    <n v="-2243"/>
    <n v="-1"/>
    <n v="-2"/>
    <n v="-2"/>
  </r>
  <r>
    <x v="795"/>
    <x v="794"/>
    <n v="144039"/>
    <n v="3665"/>
    <x v="3"/>
    <n v="3"/>
    <x v="3"/>
    <n v="1"/>
    <n v="4"/>
    <x v="4"/>
    <x v="7"/>
    <n v="-1912"/>
    <n v="-1"/>
    <n v="-1"/>
    <n v="-1"/>
  </r>
  <r>
    <x v="796"/>
    <x v="795"/>
    <n v="153378"/>
    <n v="3889"/>
    <x v="3"/>
    <n v="3"/>
    <x v="3"/>
    <n v="1"/>
    <n v="5"/>
    <x v="5"/>
    <x v="7"/>
    <n v="-1253"/>
    <n v="0"/>
    <n v="-1"/>
    <n v="-1"/>
  </r>
  <r>
    <x v="797"/>
    <x v="796"/>
    <n v="74332"/>
    <n v="1882"/>
    <x v="3"/>
    <n v="3"/>
    <x v="3"/>
    <n v="1"/>
    <n v="6"/>
    <x v="6"/>
    <x v="7"/>
    <n v="-199"/>
    <n v="0"/>
    <n v="0"/>
    <n v="0"/>
  </r>
  <r>
    <x v="798"/>
    <x v="797"/>
    <n v="95168"/>
    <n v="2405"/>
    <x v="3"/>
    <n v="3"/>
    <x v="3"/>
    <n v="1"/>
    <n v="7"/>
    <x v="0"/>
    <x v="8"/>
    <n v="-4025"/>
    <n v="-2"/>
    <n v="-4"/>
    <n v="-4"/>
  </r>
  <r>
    <x v="799"/>
    <x v="798"/>
    <n v="62343"/>
    <n v="1577"/>
    <x v="3"/>
    <n v="3"/>
    <x v="3"/>
    <n v="1"/>
    <n v="8"/>
    <x v="1"/>
    <x v="8"/>
    <n v="-1815"/>
    <n v="-1"/>
    <n v="-3"/>
    <n v="-3"/>
  </r>
  <r>
    <x v="800"/>
    <x v="799"/>
    <n v="35918"/>
    <n v="913"/>
    <x v="3"/>
    <n v="3"/>
    <x v="3"/>
    <n v="1"/>
    <n v="9"/>
    <x v="2"/>
    <x v="9"/>
    <n v="2422"/>
    <n v="3"/>
    <n v="6"/>
    <n v="6"/>
  </r>
  <r>
    <x v="801"/>
    <x v="800"/>
    <n v="35108"/>
    <n v="892"/>
    <x v="3"/>
    <n v="3"/>
    <x v="3"/>
    <n v="1"/>
    <n v="10"/>
    <x v="3"/>
    <x v="9"/>
    <n v="2345"/>
    <n v="3"/>
    <n v="6"/>
    <n v="6"/>
  </r>
  <r>
    <x v="802"/>
    <x v="801"/>
    <n v="73052"/>
    <n v="1855"/>
    <x v="3"/>
    <n v="3"/>
    <x v="3"/>
    <n v="1"/>
    <n v="11"/>
    <x v="4"/>
    <x v="9"/>
    <n v="4945"/>
    <n v="3"/>
    <n v="6"/>
    <n v="6"/>
  </r>
  <r>
    <x v="803"/>
    <x v="802"/>
    <n v="74963"/>
    <n v="1897"/>
    <x v="3"/>
    <n v="3"/>
    <x v="3"/>
    <n v="1"/>
    <n v="12"/>
    <x v="5"/>
    <x v="9"/>
    <n v="4789"/>
    <n v="3"/>
    <n v="6"/>
    <n v="6"/>
  </r>
  <r>
    <x v="804"/>
    <x v="803"/>
    <n v="34963"/>
    <n v="883"/>
    <x v="3"/>
    <n v="3"/>
    <x v="3"/>
    <n v="1"/>
    <n v="13"/>
    <x v="6"/>
    <x v="9"/>
    <n v="2193"/>
    <n v="2"/>
    <n v="6"/>
    <n v="6"/>
  </r>
  <r>
    <x v="805"/>
    <x v="804"/>
    <n v="42368"/>
    <n v="1071"/>
    <x v="3"/>
    <n v="3"/>
    <x v="3"/>
    <n v="1"/>
    <n v="14"/>
    <x v="0"/>
    <x v="9"/>
    <n v="2678"/>
    <n v="3"/>
    <n v="6"/>
    <n v="6"/>
  </r>
  <r>
    <x v="806"/>
    <x v="805"/>
    <n v="52263"/>
    <n v="1320"/>
    <x v="3"/>
    <n v="3"/>
    <x v="3"/>
    <n v="1"/>
    <n v="15"/>
    <x v="1"/>
    <x v="9"/>
    <n v="3226"/>
    <n v="2"/>
    <n v="6"/>
    <n v="6"/>
  </r>
  <r>
    <x v="807"/>
    <x v="806"/>
    <n v="39495"/>
    <n v="997"/>
    <x v="3"/>
    <n v="3"/>
    <x v="3"/>
    <n v="1"/>
    <n v="16"/>
    <x v="2"/>
    <x v="9"/>
    <n v="2398"/>
    <n v="2"/>
    <n v="6"/>
    <n v="6"/>
  </r>
  <r>
    <x v="808"/>
    <x v="807"/>
    <n v="32293"/>
    <n v="817"/>
    <x v="3"/>
    <n v="3"/>
    <x v="3"/>
    <n v="1"/>
    <n v="17"/>
    <x v="3"/>
    <x v="9"/>
    <n v="2056"/>
    <n v="3"/>
    <n v="6"/>
    <n v="6"/>
  </r>
  <r>
    <x v="809"/>
    <x v="808"/>
    <n v="73747"/>
    <n v="1866"/>
    <x v="3"/>
    <n v="3"/>
    <x v="3"/>
    <n v="1"/>
    <n v="18"/>
    <x v="4"/>
    <x v="9"/>
    <n v="4530"/>
    <n v="2"/>
    <n v="6"/>
    <n v="6"/>
  </r>
  <r>
    <x v="810"/>
    <x v="809"/>
    <n v="87452"/>
    <n v="2211"/>
    <x v="3"/>
    <n v="3"/>
    <x v="3"/>
    <n v="1"/>
    <n v="19"/>
    <x v="5"/>
    <x v="9"/>
    <n v="5400"/>
    <n v="2"/>
    <n v="6"/>
    <n v="6"/>
  </r>
  <r>
    <x v="811"/>
    <x v="810"/>
    <n v="51626"/>
    <n v="1304"/>
    <x v="3"/>
    <n v="3"/>
    <x v="3"/>
    <n v="1"/>
    <n v="20"/>
    <x v="6"/>
    <x v="9"/>
    <n v="3220"/>
    <n v="2"/>
    <n v="6"/>
    <n v="6"/>
  </r>
  <r>
    <x v="812"/>
    <x v="811"/>
    <n v="45188"/>
    <n v="1143"/>
    <x v="3"/>
    <n v="3"/>
    <x v="3"/>
    <n v="1"/>
    <n v="21"/>
    <x v="0"/>
    <x v="9"/>
    <n v="2850"/>
    <n v="2"/>
    <n v="6"/>
    <n v="6"/>
  </r>
  <r>
    <x v="813"/>
    <x v="812"/>
    <n v="62024"/>
    <n v="1573"/>
    <x v="3"/>
    <n v="3"/>
    <x v="3"/>
    <n v="1"/>
    <n v="22"/>
    <x v="1"/>
    <x v="9"/>
    <n v="3882"/>
    <n v="2"/>
    <n v="6"/>
    <n v="6"/>
  </r>
  <r>
    <x v="814"/>
    <x v="813"/>
    <n v="81473"/>
    <n v="2065"/>
    <x v="3"/>
    <n v="3"/>
    <x v="3"/>
    <n v="1"/>
    <n v="23"/>
    <x v="2"/>
    <x v="11"/>
    <n v="3397"/>
    <n v="2"/>
    <n v="4"/>
    <n v="4"/>
  </r>
  <r>
    <x v="815"/>
    <x v="814"/>
    <n v="259298"/>
    <n v="6588"/>
    <x v="3"/>
    <n v="3"/>
    <x v="3"/>
    <n v="1"/>
    <n v="24"/>
    <x v="3"/>
    <x v="12"/>
    <n v="3161"/>
    <n v="0"/>
    <n v="1"/>
    <n v="1"/>
  </r>
  <r>
    <x v="816"/>
    <x v="815"/>
    <n v="222208"/>
    <n v="5652"/>
    <x v="3"/>
    <n v="3"/>
    <x v="3"/>
    <n v="1"/>
    <n v="25"/>
    <x v="4"/>
    <x v="12"/>
    <n v="5916"/>
    <n v="1"/>
    <n v="3"/>
    <n v="3"/>
  </r>
  <r>
    <x v="817"/>
    <x v="816"/>
    <n v="161435"/>
    <n v="4103"/>
    <x v="3"/>
    <n v="3"/>
    <x v="3"/>
    <n v="1"/>
    <n v="26"/>
    <x v="5"/>
    <x v="12"/>
    <n v="1495"/>
    <n v="0"/>
    <n v="1"/>
    <n v="1"/>
  </r>
  <r>
    <x v="818"/>
    <x v="817"/>
    <n v="57682"/>
    <n v="1466"/>
    <x v="3"/>
    <n v="3"/>
    <x v="3"/>
    <n v="1"/>
    <n v="27"/>
    <x v="6"/>
    <x v="12"/>
    <n v="678"/>
    <n v="0"/>
    <n v="1"/>
    <n v="1"/>
  </r>
  <r>
    <x v="819"/>
    <x v="818"/>
    <n v="85022"/>
    <n v="2162"/>
    <x v="3"/>
    <n v="3"/>
    <x v="3"/>
    <n v="1"/>
    <n v="28"/>
    <x v="0"/>
    <x v="12"/>
    <n v="583"/>
    <n v="0"/>
    <n v="1"/>
    <n v="1"/>
  </r>
  <r>
    <x v="820"/>
    <x v="819"/>
    <n v="84595"/>
    <n v="2155"/>
    <x v="3"/>
    <n v="3"/>
    <x v="3"/>
    <n v="1"/>
    <n v="29"/>
    <x v="1"/>
    <x v="7"/>
    <n v="241"/>
    <n v="0"/>
    <n v="0"/>
    <n v="0"/>
  </r>
  <r>
    <x v="821"/>
    <x v="820"/>
    <n v="68428"/>
    <n v="1746"/>
    <x v="3"/>
    <n v="3"/>
    <x v="3"/>
    <n v="1"/>
    <n v="30"/>
    <x v="2"/>
    <x v="6"/>
    <n v="-4119"/>
    <n v="-2"/>
    <n v="-6"/>
    <n v="-6"/>
  </r>
  <r>
    <x v="822"/>
    <x v="821"/>
    <n v="138589"/>
    <n v="3554"/>
    <x v="3"/>
    <n v="3"/>
    <x v="3"/>
    <n v="1"/>
    <n v="31"/>
    <x v="3"/>
    <x v="6"/>
    <n v="-7421"/>
    <n v="-2"/>
    <n v="-6"/>
    <n v="-6"/>
  </r>
  <r>
    <x v="823"/>
    <x v="822"/>
    <n v="245359"/>
    <n v="6282"/>
    <x v="3"/>
    <n v="4"/>
    <x v="4"/>
    <n v="2"/>
    <n v="1"/>
    <x v="4"/>
    <x v="6"/>
    <n v="-12948"/>
    <n v="-2"/>
    <n v="-6"/>
    <n v="-6"/>
  </r>
  <r>
    <x v="824"/>
    <x v="823"/>
    <n v="205443"/>
    <n v="5259"/>
    <x v="3"/>
    <n v="4"/>
    <x v="4"/>
    <n v="2"/>
    <n v="2"/>
    <x v="5"/>
    <x v="6"/>
    <n v="-9612"/>
    <n v="-2"/>
    <n v="-5"/>
    <n v="-5"/>
  </r>
  <r>
    <x v="825"/>
    <x v="824"/>
    <n v="95543"/>
    <n v="2446"/>
    <x v="3"/>
    <n v="4"/>
    <x v="4"/>
    <n v="2"/>
    <n v="3"/>
    <x v="6"/>
    <x v="6"/>
    <n v="-4827"/>
    <n v="-2"/>
    <n v="-5"/>
    <n v="-5"/>
  </r>
  <r>
    <x v="826"/>
    <x v="825"/>
    <n v="130700"/>
    <n v="3345"/>
    <x v="3"/>
    <n v="4"/>
    <x v="4"/>
    <n v="2"/>
    <n v="4"/>
    <x v="0"/>
    <x v="7"/>
    <n v="938"/>
    <n v="0"/>
    <n v="1"/>
    <n v="1"/>
  </r>
  <r>
    <x v="827"/>
    <x v="826"/>
    <n v="79970"/>
    <n v="2048"/>
    <x v="3"/>
    <n v="4"/>
    <x v="4"/>
    <n v="2"/>
    <n v="5"/>
    <x v="1"/>
    <x v="12"/>
    <n v="1941"/>
    <n v="1"/>
    <n v="2"/>
    <n v="2"/>
  </r>
  <r>
    <x v="828"/>
    <x v="827"/>
    <n v="50800"/>
    <n v="1303"/>
    <x v="3"/>
    <n v="4"/>
    <x v="4"/>
    <n v="2"/>
    <n v="6"/>
    <x v="2"/>
    <x v="9"/>
    <n v="4022"/>
    <n v="3"/>
    <n v="7"/>
    <n v="7"/>
  </r>
  <r>
    <x v="829"/>
    <x v="828"/>
    <n v="171592"/>
    <n v="4413"/>
    <x v="3"/>
    <n v="4"/>
    <x v="4"/>
    <n v="2"/>
    <n v="7"/>
    <x v="3"/>
    <x v="4"/>
    <n v="-15977"/>
    <n v="-4"/>
    <n v="-10"/>
    <n v="-10"/>
  </r>
  <r>
    <x v="830"/>
    <x v="829"/>
    <n v="291379"/>
    <n v="7494"/>
    <x v="3"/>
    <n v="4"/>
    <x v="4"/>
    <n v="2"/>
    <n v="8"/>
    <x v="4"/>
    <x v="4"/>
    <n v="-27292"/>
    <n v="-4"/>
    <n v="-10"/>
    <n v="-10"/>
  </r>
  <r>
    <x v="831"/>
    <x v="830"/>
    <n v="298164"/>
    <n v="7738"/>
    <x v="3"/>
    <n v="4"/>
    <x v="4"/>
    <n v="2"/>
    <n v="9"/>
    <x v="5"/>
    <x v="4"/>
    <n v="-25403"/>
    <n v="-3"/>
    <n v="-9"/>
    <n v="-9"/>
  </r>
  <r>
    <x v="832"/>
    <x v="831"/>
    <n v="113609"/>
    <n v="2958"/>
    <x v="3"/>
    <n v="4"/>
    <x v="4"/>
    <n v="2"/>
    <n v="10"/>
    <x v="6"/>
    <x v="4"/>
    <n v="-8920"/>
    <n v="-3"/>
    <n v="-9"/>
    <n v="-9"/>
  </r>
  <r>
    <x v="833"/>
    <x v="832"/>
    <n v="142023"/>
    <n v="3713"/>
    <x v="3"/>
    <n v="4"/>
    <x v="4"/>
    <n v="2"/>
    <n v="11"/>
    <x v="0"/>
    <x v="4"/>
    <n v="-10852"/>
    <n v="-3"/>
    <n v="-8"/>
    <n v="-8"/>
  </r>
  <r>
    <x v="834"/>
    <x v="833"/>
    <n v="132715"/>
    <n v="3504"/>
    <x v="3"/>
    <n v="4"/>
    <x v="4"/>
    <n v="2"/>
    <n v="12"/>
    <x v="1"/>
    <x v="4"/>
    <n v="-9535"/>
    <n v="-3"/>
    <n v="-8"/>
    <n v="-8"/>
  </r>
  <r>
    <x v="835"/>
    <x v="834"/>
    <n v="132889"/>
    <n v="3534"/>
    <x v="3"/>
    <n v="4"/>
    <x v="4"/>
    <n v="2"/>
    <n v="13"/>
    <x v="2"/>
    <x v="4"/>
    <n v="-8458"/>
    <n v="-2"/>
    <n v="-7"/>
    <n v="-7"/>
  </r>
  <r>
    <x v="836"/>
    <x v="835"/>
    <n v="172226"/>
    <n v="4601"/>
    <x v="3"/>
    <n v="4"/>
    <x v="4"/>
    <n v="2"/>
    <n v="14"/>
    <x v="3"/>
    <x v="4"/>
    <n v="-10059"/>
    <n v="-2"/>
    <n v="-6"/>
    <n v="-6"/>
  </r>
  <r>
    <x v="837"/>
    <x v="836"/>
    <n v="373200"/>
    <n v="10045"/>
    <x v="3"/>
    <n v="4"/>
    <x v="4"/>
    <n v="2"/>
    <n v="15"/>
    <x v="4"/>
    <x v="4"/>
    <n v="-19158"/>
    <n v="-2"/>
    <n v="-5"/>
    <n v="-5"/>
  </r>
  <r>
    <x v="838"/>
    <x v="837"/>
    <n v="345339"/>
    <n v="9301"/>
    <x v="3"/>
    <n v="4"/>
    <x v="4"/>
    <n v="2"/>
    <n v="16"/>
    <x v="5"/>
    <x v="4"/>
    <n v="-17986"/>
    <n v="-2"/>
    <n v="-5"/>
    <n v="-5"/>
  </r>
  <r>
    <x v="839"/>
    <x v="838"/>
    <n v="175167"/>
    <n v="4678"/>
    <x v="3"/>
    <n v="4"/>
    <x v="4"/>
    <n v="2"/>
    <n v="17"/>
    <x v="6"/>
    <x v="4"/>
    <n v="-10358"/>
    <n v="-2"/>
    <n v="-6"/>
    <n v="-6"/>
  </r>
  <r>
    <x v="840"/>
    <x v="839"/>
    <n v="159829"/>
    <n v="4294"/>
    <x v="3"/>
    <n v="4"/>
    <x v="4"/>
    <n v="2"/>
    <n v="18"/>
    <x v="0"/>
    <x v="4"/>
    <n v="-8671"/>
    <n v="-2"/>
    <n v="-6"/>
    <n v="-6"/>
  </r>
  <r>
    <x v="841"/>
    <x v="840"/>
    <n v="133726"/>
    <n v="3606"/>
    <x v="3"/>
    <n v="4"/>
    <x v="4"/>
    <n v="2"/>
    <n v="19"/>
    <x v="1"/>
    <x v="4"/>
    <n v="-6830"/>
    <n v="-2"/>
    <n v="-5"/>
    <n v="-5"/>
  </r>
  <r>
    <x v="842"/>
    <x v="841"/>
    <n v="179021"/>
    <n v="4838"/>
    <x v="3"/>
    <n v="4"/>
    <x v="4"/>
    <n v="2"/>
    <n v="20"/>
    <x v="2"/>
    <x v="2"/>
    <n v="-12625"/>
    <n v="-3"/>
    <n v="-8"/>
    <n v="-8"/>
  </r>
  <r>
    <x v="843"/>
    <x v="842"/>
    <n v="182485"/>
    <n v="4914"/>
    <x v="3"/>
    <n v="4"/>
    <x v="4"/>
    <n v="2"/>
    <n v="21"/>
    <x v="3"/>
    <x v="2"/>
    <n v="-14689"/>
    <n v="-3"/>
    <n v="-9"/>
    <n v="-9"/>
  </r>
  <r>
    <x v="844"/>
    <x v="843"/>
    <n v="380098"/>
    <n v="10269"/>
    <x v="3"/>
    <n v="4"/>
    <x v="4"/>
    <n v="2"/>
    <n v="22"/>
    <x v="4"/>
    <x v="2"/>
    <n v="-28952"/>
    <n v="-3"/>
    <n v="-8"/>
    <n v="-8"/>
  </r>
  <r>
    <x v="845"/>
    <x v="844"/>
    <n v="455415"/>
    <n v="12317"/>
    <x v="3"/>
    <n v="4"/>
    <x v="4"/>
    <n v="2"/>
    <n v="23"/>
    <x v="5"/>
    <x v="2"/>
    <n v="-34677"/>
    <n v="-3"/>
    <n v="-8"/>
    <n v="-8"/>
  </r>
  <r>
    <x v="846"/>
    <x v="845"/>
    <n v="202391"/>
    <n v="5453"/>
    <x v="3"/>
    <n v="4"/>
    <x v="4"/>
    <n v="2"/>
    <n v="24"/>
    <x v="6"/>
    <x v="2"/>
    <n v="-16225"/>
    <n v="-3"/>
    <n v="-9"/>
    <n v="-9"/>
  </r>
  <r>
    <x v="847"/>
    <x v="846"/>
    <n v="273255"/>
    <n v="7372"/>
    <x v="3"/>
    <n v="4"/>
    <x v="4"/>
    <n v="2"/>
    <n v="25"/>
    <x v="0"/>
    <x v="2"/>
    <n v="-21806"/>
    <n v="-3"/>
    <n v="-9"/>
    <n v="-9"/>
  </r>
  <r>
    <x v="848"/>
    <x v="847"/>
    <n v="302470"/>
    <n v="8211"/>
    <x v="3"/>
    <n v="4"/>
    <x v="4"/>
    <n v="2"/>
    <n v="26"/>
    <x v="1"/>
    <x v="2"/>
    <n v="-22148"/>
    <n v="-3"/>
    <n v="-8"/>
    <n v="-8"/>
  </r>
  <r>
    <x v="849"/>
    <x v="848"/>
    <n v="337931"/>
    <n v="9182"/>
    <x v="3"/>
    <n v="4"/>
    <x v="4"/>
    <n v="2"/>
    <n v="27"/>
    <x v="2"/>
    <x v="2"/>
    <n v="-24496"/>
    <n v="-3"/>
    <n v="-8"/>
    <n v="-8"/>
  </r>
  <r>
    <x v="850"/>
    <x v="849"/>
    <n v="276852"/>
    <n v="7520"/>
    <x v="3"/>
    <n v="4"/>
    <x v="4"/>
    <n v="2"/>
    <n v="28"/>
    <x v="3"/>
    <x v="2"/>
    <n v="-19528"/>
    <n v="-3"/>
    <n v="-8"/>
    <n v="-8"/>
  </r>
  <r>
    <x v="851"/>
    <x v="850"/>
    <n v="489215"/>
    <n v="13321"/>
    <x v="3"/>
    <n v="4"/>
    <x v="4"/>
    <n v="2"/>
    <n v="29"/>
    <x v="4"/>
    <x v="2"/>
    <n v="-33661"/>
    <n v="-3"/>
    <n v="-7"/>
    <n v="-7"/>
  </r>
  <r>
    <x v="852"/>
    <x v="851"/>
    <n v="598926"/>
    <n v="16276"/>
    <x v="3"/>
    <n v="4"/>
    <x v="4"/>
    <n v="2"/>
    <n v="30"/>
    <x v="5"/>
    <x v="2"/>
    <n v="-42060"/>
    <n v="-3"/>
    <n v="-8"/>
    <n v="-8"/>
  </r>
  <r>
    <x v="853"/>
    <x v="852"/>
    <n v="380511"/>
    <n v="10388"/>
    <x v="3"/>
    <n v="5"/>
    <x v="5"/>
    <n v="2"/>
    <n v="1"/>
    <x v="6"/>
    <x v="2"/>
    <n v="-25655"/>
    <n v="-2"/>
    <n v="-7"/>
    <n v="-7"/>
  </r>
  <r>
    <x v="854"/>
    <x v="853"/>
    <n v="304998"/>
    <n v="8298"/>
    <x v="3"/>
    <n v="5"/>
    <x v="5"/>
    <n v="2"/>
    <n v="2"/>
    <x v="0"/>
    <x v="2"/>
    <n v="-21713"/>
    <n v="-3"/>
    <n v="-8"/>
    <n v="-8"/>
  </r>
  <r>
    <x v="855"/>
    <x v="854"/>
    <n v="319786"/>
    <n v="8717"/>
    <x v="3"/>
    <n v="5"/>
    <x v="5"/>
    <n v="2"/>
    <n v="3"/>
    <x v="1"/>
    <x v="2"/>
    <n v="-22286"/>
    <n v="-3"/>
    <n v="-7"/>
    <n v="-7"/>
  </r>
  <r>
    <x v="856"/>
    <x v="855"/>
    <n v="305507"/>
    <n v="8364"/>
    <x v="3"/>
    <n v="5"/>
    <x v="5"/>
    <n v="2"/>
    <n v="4"/>
    <x v="2"/>
    <x v="2"/>
    <n v="-19539"/>
    <n v="-2"/>
    <n v="-7"/>
    <n v="-7"/>
  </r>
  <r>
    <x v="857"/>
    <x v="856"/>
    <n v="254527"/>
    <n v="6968"/>
    <x v="3"/>
    <n v="5"/>
    <x v="5"/>
    <n v="2"/>
    <n v="5"/>
    <x v="3"/>
    <x v="2"/>
    <n v="-16581"/>
    <n v="-2"/>
    <n v="-7"/>
    <n v="-7"/>
  </r>
  <r>
    <x v="858"/>
    <x v="857"/>
    <n v="364361"/>
    <n v="9973"/>
    <x v="3"/>
    <n v="5"/>
    <x v="5"/>
    <n v="2"/>
    <n v="6"/>
    <x v="4"/>
    <x v="2"/>
    <n v="-23510"/>
    <n v="-2"/>
    <n v="-7"/>
    <n v="-7"/>
  </r>
  <r>
    <x v="859"/>
    <x v="858"/>
    <n v="414645"/>
    <n v="11363"/>
    <x v="3"/>
    <n v="5"/>
    <x v="5"/>
    <n v="2"/>
    <n v="7"/>
    <x v="5"/>
    <x v="2"/>
    <n v="-26457"/>
    <n v="-2"/>
    <n v="-7"/>
    <n v="-7"/>
  </r>
  <r>
    <x v="860"/>
    <x v="859"/>
    <n v="148731"/>
    <n v="4074"/>
    <x v="3"/>
    <n v="5"/>
    <x v="5"/>
    <n v="2"/>
    <n v="8"/>
    <x v="6"/>
    <x v="2"/>
    <n v="-9552"/>
    <n v="-2"/>
    <n v="-7"/>
    <n v="-7"/>
  </r>
  <r>
    <x v="861"/>
    <x v="860"/>
    <n v="57742"/>
    <n v="1579"/>
    <x v="3"/>
    <n v="5"/>
    <x v="5"/>
    <n v="2"/>
    <n v="9"/>
    <x v="0"/>
    <x v="9"/>
    <n v="8659"/>
    <n v="5"/>
    <n v="13"/>
    <n v="13"/>
  </r>
  <r>
    <x v="862"/>
    <x v="861"/>
    <n v="37113"/>
    <n v="1016"/>
    <x v="3"/>
    <n v="5"/>
    <x v="5"/>
    <n v="2"/>
    <n v="10"/>
    <x v="1"/>
    <x v="9"/>
    <n v="5611"/>
    <n v="6"/>
    <n v="13"/>
    <n v="13"/>
  </r>
  <r>
    <x v="863"/>
    <x v="862"/>
    <n v="30394"/>
    <n v="832"/>
    <x v="3"/>
    <n v="5"/>
    <x v="5"/>
    <n v="2"/>
    <n v="11"/>
    <x v="2"/>
    <x v="9"/>
    <n v="4621"/>
    <n v="6"/>
    <n v="13"/>
    <n v="13"/>
  </r>
  <r>
    <x v="864"/>
    <x v="863"/>
    <n v="23570"/>
    <n v="647"/>
    <x v="3"/>
    <n v="5"/>
    <x v="5"/>
    <n v="2"/>
    <n v="12"/>
    <x v="3"/>
    <x v="9"/>
    <n v="3640"/>
    <n v="6"/>
    <n v="13"/>
    <n v="13"/>
  </r>
  <r>
    <x v="865"/>
    <x v="864"/>
    <n v="69079"/>
    <n v="1898"/>
    <x v="3"/>
    <n v="5"/>
    <x v="5"/>
    <n v="2"/>
    <n v="13"/>
    <x v="4"/>
    <x v="9"/>
    <n v="10761"/>
    <n v="6"/>
    <n v="13"/>
    <n v="13"/>
  </r>
  <r>
    <x v="866"/>
    <x v="865"/>
    <n v="71426"/>
    <n v="1961"/>
    <x v="3"/>
    <n v="5"/>
    <x v="5"/>
    <n v="2"/>
    <n v="14"/>
    <x v="5"/>
    <x v="9"/>
    <n v="11058"/>
    <n v="6"/>
    <n v="13"/>
    <n v="13"/>
  </r>
  <r>
    <x v="867"/>
    <x v="866"/>
    <n v="44612"/>
    <n v="1224"/>
    <x v="3"/>
    <n v="5"/>
    <x v="5"/>
    <n v="2"/>
    <n v="15"/>
    <x v="6"/>
    <x v="9"/>
    <n v="6885"/>
    <n v="6"/>
    <n v="13"/>
    <n v="13"/>
  </r>
  <r>
    <x v="868"/>
    <x v="867"/>
    <n v="37139"/>
    <n v="1019"/>
    <x v="3"/>
    <n v="5"/>
    <x v="5"/>
    <n v="2"/>
    <n v="16"/>
    <x v="0"/>
    <x v="9"/>
    <n v="5733"/>
    <n v="6"/>
    <n v="13"/>
    <n v="13"/>
  </r>
  <r>
    <x v="869"/>
    <x v="868"/>
    <n v="33890"/>
    <n v="930"/>
    <x v="3"/>
    <n v="5"/>
    <x v="5"/>
    <n v="2"/>
    <n v="17"/>
    <x v="1"/>
    <x v="9"/>
    <n v="5214"/>
    <n v="6"/>
    <n v="13"/>
    <n v="13"/>
  </r>
  <r>
    <x v="870"/>
    <x v="869"/>
    <n v="29884"/>
    <n v="818"/>
    <x v="3"/>
    <n v="5"/>
    <x v="5"/>
    <n v="2"/>
    <n v="18"/>
    <x v="2"/>
    <x v="9"/>
    <n v="4522"/>
    <n v="6"/>
    <n v="13"/>
    <n v="13"/>
  </r>
  <r>
    <x v="871"/>
    <x v="870"/>
    <n v="34230"/>
    <n v="937"/>
    <x v="3"/>
    <n v="5"/>
    <x v="5"/>
    <n v="2"/>
    <n v="19"/>
    <x v="3"/>
    <x v="9"/>
    <n v="5174"/>
    <n v="6"/>
    <n v="13"/>
    <n v="13"/>
  </r>
  <r>
    <x v="872"/>
    <x v="871"/>
    <n v="83926"/>
    <n v="2302"/>
    <x v="3"/>
    <n v="5"/>
    <x v="5"/>
    <n v="2"/>
    <n v="20"/>
    <x v="4"/>
    <x v="9"/>
    <n v="12905"/>
    <n v="6"/>
    <n v="13"/>
    <n v="13"/>
  </r>
  <r>
    <x v="873"/>
    <x v="872"/>
    <n v="86180"/>
    <n v="2363"/>
    <x v="3"/>
    <n v="5"/>
    <x v="5"/>
    <n v="2"/>
    <n v="21"/>
    <x v="5"/>
    <x v="9"/>
    <n v="13201"/>
    <n v="6"/>
    <n v="13"/>
    <n v="13"/>
  </r>
  <r>
    <x v="874"/>
    <x v="873"/>
    <n v="53464"/>
    <n v="1466"/>
    <x v="3"/>
    <n v="5"/>
    <x v="5"/>
    <n v="2"/>
    <n v="22"/>
    <x v="6"/>
    <x v="9"/>
    <n v="8192"/>
    <n v="6"/>
    <n v="13"/>
    <n v="13"/>
  </r>
  <r>
    <x v="875"/>
    <x v="874"/>
    <n v="59948"/>
    <n v="1644"/>
    <x v="3"/>
    <n v="5"/>
    <x v="5"/>
    <n v="2"/>
    <n v="23"/>
    <x v="0"/>
    <x v="9"/>
    <n v="9215"/>
    <n v="6"/>
    <n v="13"/>
    <n v="13"/>
  </r>
  <r>
    <x v="876"/>
    <x v="875"/>
    <n v="117415"/>
    <n v="3224"/>
    <x v="3"/>
    <n v="5"/>
    <x v="5"/>
    <n v="2"/>
    <n v="24"/>
    <x v="1"/>
    <x v="4"/>
    <n v="-4302"/>
    <n v="-1"/>
    <n v="-4"/>
    <n v="-4"/>
  </r>
  <r>
    <x v="877"/>
    <x v="876"/>
    <n v="268975"/>
    <n v="7392"/>
    <x v="3"/>
    <n v="5"/>
    <x v="5"/>
    <n v="2"/>
    <n v="25"/>
    <x v="2"/>
    <x v="2"/>
    <n v="-15288"/>
    <n v="-2"/>
    <n v="-6"/>
    <n v="-6"/>
  </r>
  <r>
    <x v="878"/>
    <x v="877"/>
    <n v="223289"/>
    <n v="6138"/>
    <x v="3"/>
    <n v="5"/>
    <x v="5"/>
    <n v="2"/>
    <n v="26"/>
    <x v="3"/>
    <x v="2"/>
    <n v="-12984"/>
    <n v="-2"/>
    <n v="-6"/>
    <n v="-6"/>
  </r>
  <r>
    <x v="879"/>
    <x v="878"/>
    <n v="386500"/>
    <n v="10624"/>
    <x v="3"/>
    <n v="5"/>
    <x v="5"/>
    <n v="2"/>
    <n v="27"/>
    <x v="4"/>
    <x v="2"/>
    <n v="-22412"/>
    <n v="-2"/>
    <n v="-6"/>
    <n v="-6"/>
  </r>
  <r>
    <x v="880"/>
    <x v="879"/>
    <n v="421674"/>
    <n v="11590"/>
    <x v="3"/>
    <n v="5"/>
    <x v="5"/>
    <n v="2"/>
    <n v="28"/>
    <x v="5"/>
    <x v="2"/>
    <n v="-24194"/>
    <n v="-2"/>
    <n v="-6"/>
    <n v="-6"/>
  </r>
  <r>
    <x v="881"/>
    <x v="880"/>
    <n v="216777"/>
    <n v="5959"/>
    <x v="3"/>
    <n v="5"/>
    <x v="5"/>
    <n v="2"/>
    <n v="29"/>
    <x v="6"/>
    <x v="2"/>
    <n v="-12749"/>
    <n v="-2"/>
    <n v="-6"/>
    <n v="-6"/>
  </r>
  <r>
    <x v="882"/>
    <x v="881"/>
    <n v="183716"/>
    <n v="5048"/>
    <x v="3"/>
    <n v="5"/>
    <x v="5"/>
    <n v="2"/>
    <n v="30"/>
    <x v="0"/>
    <x v="2"/>
    <n v="-10918"/>
    <n v="-2"/>
    <n v="-6"/>
    <n v="-6"/>
  </r>
  <r>
    <x v="883"/>
    <x v="882"/>
    <n v="274386"/>
    <n v="7542"/>
    <x v="3"/>
    <n v="5"/>
    <x v="5"/>
    <n v="2"/>
    <n v="31"/>
    <x v="1"/>
    <x v="2"/>
    <n v="-15415"/>
    <n v="-2"/>
    <n v="-6"/>
    <n v="-6"/>
  </r>
  <r>
    <x v="884"/>
    <x v="883"/>
    <n v="391924"/>
    <n v="10761"/>
    <x v="3"/>
    <n v="6"/>
    <x v="6"/>
    <n v="2"/>
    <n v="1"/>
    <x v="2"/>
    <x v="2"/>
    <n v="-23134"/>
    <n v="-2"/>
    <n v="-6"/>
    <n v="-6"/>
  </r>
  <r>
    <x v="885"/>
    <x v="884"/>
    <n v="295548"/>
    <n v="8120"/>
    <x v="3"/>
    <n v="6"/>
    <x v="6"/>
    <n v="2"/>
    <n v="2"/>
    <x v="3"/>
    <x v="2"/>
    <n v="-17477"/>
    <n v="-2"/>
    <n v="-6"/>
    <n v="-6"/>
  </r>
  <r>
    <x v="886"/>
    <x v="885"/>
    <n v="396324"/>
    <n v="10896"/>
    <x v="3"/>
    <n v="6"/>
    <x v="6"/>
    <n v="2"/>
    <n v="3"/>
    <x v="4"/>
    <x v="2"/>
    <n v="-22365"/>
    <n v="-2"/>
    <n v="-6"/>
    <n v="-6"/>
  </r>
  <r>
    <x v="887"/>
    <x v="886"/>
    <n v="426466"/>
    <n v="11726"/>
    <x v="3"/>
    <n v="6"/>
    <x v="6"/>
    <n v="2"/>
    <n v="4"/>
    <x v="5"/>
    <x v="2"/>
    <n v="-24409"/>
    <n v="-2"/>
    <n v="-6"/>
    <n v="-6"/>
  </r>
  <r>
    <x v="888"/>
    <x v="887"/>
    <n v="218408"/>
    <n v="6007"/>
    <x v="3"/>
    <n v="6"/>
    <x v="6"/>
    <n v="2"/>
    <n v="5"/>
    <x v="6"/>
    <x v="2"/>
    <n v="-12689"/>
    <n v="-2"/>
    <n v="-6"/>
    <n v="-6"/>
  </r>
  <r>
    <x v="889"/>
    <x v="888"/>
    <n v="188630"/>
    <n v="5185"/>
    <x v="3"/>
    <n v="6"/>
    <x v="6"/>
    <n v="2"/>
    <n v="6"/>
    <x v="0"/>
    <x v="2"/>
    <n v="-11003"/>
    <n v="-2"/>
    <n v="-6"/>
    <n v="-6"/>
  </r>
  <r>
    <x v="890"/>
    <x v="889"/>
    <n v="60911"/>
    <n v="1675"/>
    <x v="3"/>
    <n v="6"/>
    <x v="6"/>
    <n v="2"/>
    <n v="7"/>
    <x v="1"/>
    <x v="9"/>
    <n v="9531"/>
    <n v="6"/>
    <n v="14"/>
    <n v="14"/>
  </r>
  <r>
    <x v="891"/>
    <x v="890"/>
    <n v="173293"/>
    <n v="4765"/>
    <x v="3"/>
    <n v="6"/>
    <x v="6"/>
    <n v="2"/>
    <n v="8"/>
    <x v="2"/>
    <x v="2"/>
    <n v="-10369"/>
    <n v="-2"/>
    <n v="-6"/>
    <n v="-6"/>
  </r>
  <r>
    <x v="892"/>
    <x v="891"/>
    <n v="143791"/>
    <n v="3953"/>
    <x v="3"/>
    <n v="6"/>
    <x v="6"/>
    <n v="2"/>
    <n v="9"/>
    <x v="3"/>
    <x v="4"/>
    <n v="-5039"/>
    <n v="-1"/>
    <n v="-4"/>
    <n v="-4"/>
  </r>
  <r>
    <x v="893"/>
    <x v="892"/>
    <n v="261502"/>
    <n v="7190"/>
    <x v="3"/>
    <n v="6"/>
    <x v="6"/>
    <n v="2"/>
    <n v="10"/>
    <x v="4"/>
    <x v="4"/>
    <n v="-9044"/>
    <n v="-1"/>
    <n v="-4"/>
    <n v="-4"/>
  </r>
  <r>
    <x v="894"/>
    <x v="893"/>
    <n v="311854"/>
    <n v="8577"/>
    <x v="3"/>
    <n v="6"/>
    <x v="6"/>
    <n v="2"/>
    <n v="11"/>
    <x v="5"/>
    <x v="2"/>
    <n v="-17936"/>
    <n v="-2"/>
    <n v="-6"/>
    <n v="-6"/>
  </r>
  <r>
    <x v="895"/>
    <x v="894"/>
    <n v="143347"/>
    <n v="3943"/>
    <x v="3"/>
    <n v="6"/>
    <x v="6"/>
    <n v="2"/>
    <n v="12"/>
    <x v="6"/>
    <x v="4"/>
    <n v="-4997"/>
    <n v="-1"/>
    <n v="-4"/>
    <n v="-4"/>
  </r>
  <r>
    <x v="896"/>
    <x v="895"/>
    <n v="134951"/>
    <n v="3707"/>
    <x v="3"/>
    <n v="6"/>
    <x v="6"/>
    <n v="2"/>
    <n v="13"/>
    <x v="0"/>
    <x v="4"/>
    <n v="-4883"/>
    <n v="-1"/>
    <n v="-4"/>
    <n v="-4"/>
  </r>
  <r>
    <x v="897"/>
    <x v="896"/>
    <n v="111173"/>
    <n v="3054"/>
    <x v="3"/>
    <n v="6"/>
    <x v="6"/>
    <n v="2"/>
    <n v="14"/>
    <x v="1"/>
    <x v="4"/>
    <n v="-4004"/>
    <n v="-1"/>
    <n v="-4"/>
    <n v="-4"/>
  </r>
  <r>
    <x v="898"/>
    <x v="897"/>
    <n v="237935"/>
    <n v="6541"/>
    <x v="3"/>
    <n v="6"/>
    <x v="6"/>
    <n v="2"/>
    <n v="15"/>
    <x v="2"/>
    <x v="2"/>
    <n v="-13904"/>
    <n v="-2"/>
    <n v="-6"/>
    <n v="-6"/>
  </r>
  <r>
    <x v="899"/>
    <x v="898"/>
    <n v="209096"/>
    <n v="5749"/>
    <x v="3"/>
    <n v="6"/>
    <x v="6"/>
    <n v="2"/>
    <n v="16"/>
    <x v="3"/>
    <x v="4"/>
    <n v="-7177"/>
    <n v="-1"/>
    <n v="-4"/>
    <n v="-4"/>
  </r>
  <r>
    <x v="900"/>
    <x v="899"/>
    <n v="341253"/>
    <n v="9385"/>
    <x v="3"/>
    <n v="6"/>
    <x v="6"/>
    <n v="2"/>
    <n v="17"/>
    <x v="4"/>
    <x v="4"/>
    <n v="-11909"/>
    <n v="-1"/>
    <n v="-4"/>
    <n v="-4"/>
  </r>
  <r>
    <x v="901"/>
    <x v="900"/>
    <n v="327672"/>
    <n v="9012"/>
    <x v="3"/>
    <n v="6"/>
    <x v="6"/>
    <n v="2"/>
    <n v="18"/>
    <x v="5"/>
    <x v="2"/>
    <n v="-19029"/>
    <n v="-2"/>
    <n v="-6"/>
    <n v="-6"/>
  </r>
  <r>
    <x v="902"/>
    <x v="901"/>
    <n v="139386"/>
    <n v="3831"/>
    <x v="3"/>
    <n v="6"/>
    <x v="6"/>
    <n v="2"/>
    <n v="19"/>
    <x v="6"/>
    <x v="4"/>
    <n v="-4913"/>
    <n v="-1"/>
    <n v="-4"/>
    <n v="-4"/>
  </r>
  <r>
    <x v="903"/>
    <x v="902"/>
    <n v="148954"/>
    <n v="4097"/>
    <x v="3"/>
    <n v="6"/>
    <x v="6"/>
    <n v="2"/>
    <n v="20"/>
    <x v="0"/>
    <x v="4"/>
    <n v="-5144"/>
    <n v="-1"/>
    <n v="-4"/>
    <n v="-4"/>
  </r>
  <r>
    <x v="904"/>
    <x v="903"/>
    <n v="127533"/>
    <n v="3509"/>
    <x v="3"/>
    <n v="6"/>
    <x v="6"/>
    <n v="2"/>
    <n v="21"/>
    <x v="1"/>
    <x v="4"/>
    <n v="-4281"/>
    <n v="-1"/>
    <n v="-3"/>
    <n v="-3"/>
  </r>
  <r>
    <x v="905"/>
    <x v="904"/>
    <n v="34559"/>
    <n v="953"/>
    <x v="3"/>
    <n v="6"/>
    <x v="6"/>
    <n v="2"/>
    <n v="22"/>
    <x v="2"/>
    <x v="9"/>
    <n v="5508"/>
    <n v="6"/>
    <n v="14"/>
    <n v="14"/>
  </r>
  <r>
    <x v="906"/>
    <x v="905"/>
    <n v="155660"/>
    <n v="4305"/>
    <x v="3"/>
    <n v="6"/>
    <x v="6"/>
    <n v="2"/>
    <n v="23"/>
    <x v="3"/>
    <x v="0"/>
    <n v="-11907"/>
    <n v="-3"/>
    <n v="-8"/>
    <n v="-8"/>
  </r>
  <r>
    <x v="907"/>
    <x v="906"/>
    <n v="422373"/>
    <n v="11667"/>
    <x v="3"/>
    <n v="6"/>
    <x v="6"/>
    <n v="2"/>
    <n v="24"/>
    <x v="4"/>
    <x v="0"/>
    <n v="-32469"/>
    <n v="-3"/>
    <n v="-8"/>
    <n v="-8"/>
  </r>
  <r>
    <x v="908"/>
    <x v="907"/>
    <n v="498910"/>
    <n v="13793"/>
    <x v="3"/>
    <n v="6"/>
    <x v="6"/>
    <n v="2"/>
    <n v="25"/>
    <x v="5"/>
    <x v="0"/>
    <n v="-37630"/>
    <n v="-3"/>
    <n v="-8"/>
    <n v="-8"/>
  </r>
  <r>
    <x v="909"/>
    <x v="908"/>
    <n v="240450"/>
    <n v="6641"/>
    <x v="3"/>
    <n v="6"/>
    <x v="6"/>
    <n v="2"/>
    <n v="26"/>
    <x v="6"/>
    <x v="0"/>
    <n v="-18871"/>
    <n v="-3"/>
    <n v="-9"/>
    <n v="-9"/>
  </r>
  <r>
    <x v="910"/>
    <x v="909"/>
    <n v="274426"/>
    <n v="7593"/>
    <x v="3"/>
    <n v="6"/>
    <x v="6"/>
    <n v="2"/>
    <n v="27"/>
    <x v="0"/>
    <x v="0"/>
    <n v="-20724"/>
    <n v="-3"/>
    <n v="-8"/>
    <n v="-8"/>
  </r>
  <r>
    <x v="911"/>
    <x v="910"/>
    <n v="217105"/>
    <n v="6007"/>
    <x v="3"/>
    <n v="6"/>
    <x v="6"/>
    <n v="2"/>
    <n v="28"/>
    <x v="1"/>
    <x v="0"/>
    <n v="-16489"/>
    <n v="-3"/>
    <n v="-8"/>
    <n v="-8"/>
  </r>
  <r>
    <x v="912"/>
    <x v="911"/>
    <n v="229024"/>
    <n v="6345"/>
    <x v="3"/>
    <n v="6"/>
    <x v="6"/>
    <n v="2"/>
    <n v="29"/>
    <x v="2"/>
    <x v="0"/>
    <n v="-17323"/>
    <n v="-3"/>
    <n v="-8"/>
    <n v="-8"/>
  </r>
  <r>
    <x v="913"/>
    <x v="912"/>
    <n v="305894"/>
    <n v="8482"/>
    <x v="3"/>
    <n v="6"/>
    <x v="6"/>
    <n v="2"/>
    <n v="30"/>
    <x v="3"/>
    <x v="0"/>
    <n v="-23136"/>
    <n v="-3"/>
    <n v="-8"/>
    <n v="-8"/>
  </r>
  <r>
    <x v="914"/>
    <x v="913"/>
    <n v="517742"/>
    <n v="14344"/>
    <x v="3"/>
    <n v="7"/>
    <x v="7"/>
    <n v="3"/>
    <n v="1"/>
    <x v="4"/>
    <x v="0"/>
    <n v="-38732"/>
    <n v="-3"/>
    <n v="-8"/>
    <n v="-8"/>
  </r>
  <r>
    <x v="915"/>
    <x v="914"/>
    <n v="490487"/>
    <n v="13609"/>
    <x v="3"/>
    <n v="7"/>
    <x v="7"/>
    <n v="3"/>
    <n v="2"/>
    <x v="5"/>
    <x v="0"/>
    <n v="-35944"/>
    <n v="-3"/>
    <n v="-8"/>
    <n v="-8"/>
  </r>
  <r>
    <x v="916"/>
    <x v="915"/>
    <n v="261535"/>
    <n v="7259"/>
    <x v="3"/>
    <n v="7"/>
    <x v="7"/>
    <n v="3"/>
    <n v="3"/>
    <x v="6"/>
    <x v="0"/>
    <n v="-19350"/>
    <n v="-3"/>
    <n v="-8"/>
    <n v="-8"/>
  </r>
  <r>
    <x v="917"/>
    <x v="916"/>
    <n v="304052"/>
    <n v="8431"/>
    <x v="3"/>
    <n v="7"/>
    <x v="7"/>
    <n v="3"/>
    <n v="4"/>
    <x v="0"/>
    <x v="0"/>
    <n v="-22521"/>
    <n v="-3"/>
    <n v="-8"/>
    <n v="-8"/>
  </r>
  <r>
    <x v="918"/>
    <x v="917"/>
    <n v="237026"/>
    <n v="6577"/>
    <x v="3"/>
    <n v="7"/>
    <x v="7"/>
    <n v="3"/>
    <n v="5"/>
    <x v="1"/>
    <x v="0"/>
    <n v="-17663"/>
    <n v="-3"/>
    <n v="-8"/>
    <n v="-8"/>
  </r>
  <r>
    <x v="919"/>
    <x v="918"/>
    <n v="219723"/>
    <n v="6098"/>
    <x v="3"/>
    <n v="7"/>
    <x v="7"/>
    <n v="3"/>
    <n v="6"/>
    <x v="2"/>
    <x v="0"/>
    <n v="-15717"/>
    <n v="-3"/>
    <n v="-8"/>
    <n v="-8"/>
  </r>
  <r>
    <x v="920"/>
    <x v="919"/>
    <n v="59599"/>
    <n v="1654"/>
    <x v="3"/>
    <n v="7"/>
    <x v="7"/>
    <n v="3"/>
    <n v="7"/>
    <x v="3"/>
    <x v="9"/>
    <n v="9980"/>
    <n v="6"/>
    <n v="14"/>
    <n v="14"/>
  </r>
  <r>
    <x v="921"/>
    <x v="920"/>
    <n v="74655"/>
    <n v="2073"/>
    <x v="3"/>
    <n v="7"/>
    <x v="7"/>
    <n v="3"/>
    <n v="8"/>
    <x v="4"/>
    <x v="9"/>
    <n v="12530"/>
    <n v="6"/>
    <n v="14"/>
    <n v="14"/>
  </r>
  <r>
    <x v="922"/>
    <x v="921"/>
    <n v="67367"/>
    <n v="1871"/>
    <x v="3"/>
    <n v="7"/>
    <x v="7"/>
    <n v="3"/>
    <n v="9"/>
    <x v="5"/>
    <x v="9"/>
    <n v="11333"/>
    <n v="6"/>
    <n v="14"/>
    <n v="14"/>
  </r>
  <r>
    <x v="923"/>
    <x v="922"/>
    <n v="34092"/>
    <n v="946"/>
    <x v="3"/>
    <n v="7"/>
    <x v="7"/>
    <n v="3"/>
    <n v="10"/>
    <x v="6"/>
    <x v="9"/>
    <n v="5718"/>
    <n v="6"/>
    <n v="14"/>
    <n v="14"/>
  </r>
  <r>
    <x v="924"/>
    <x v="923"/>
    <n v="39231"/>
    <n v="1090"/>
    <x v="3"/>
    <n v="7"/>
    <x v="7"/>
    <n v="3"/>
    <n v="11"/>
    <x v="0"/>
    <x v="9"/>
    <n v="6608"/>
    <n v="6"/>
    <n v="14"/>
    <n v="14"/>
  </r>
  <r>
    <x v="925"/>
    <x v="924"/>
    <n v="31574"/>
    <n v="876"/>
    <x v="3"/>
    <n v="7"/>
    <x v="7"/>
    <n v="3"/>
    <n v="12"/>
    <x v="1"/>
    <x v="9"/>
    <n v="5277"/>
    <n v="6"/>
    <n v="14"/>
    <n v="14"/>
  </r>
  <r>
    <x v="926"/>
    <x v="925"/>
    <n v="28489"/>
    <n v="790"/>
    <x v="3"/>
    <n v="7"/>
    <x v="7"/>
    <n v="3"/>
    <n v="13"/>
    <x v="2"/>
    <x v="9"/>
    <n v="4737"/>
    <n v="6"/>
    <n v="14"/>
    <n v="14"/>
  </r>
  <r>
    <x v="927"/>
    <x v="926"/>
    <n v="26054"/>
    <n v="723"/>
    <x v="3"/>
    <n v="7"/>
    <x v="7"/>
    <n v="3"/>
    <n v="14"/>
    <x v="3"/>
    <x v="9"/>
    <n v="4370"/>
    <n v="6"/>
    <n v="14"/>
    <n v="14"/>
  </r>
  <r>
    <x v="928"/>
    <x v="927"/>
    <n v="68788"/>
    <n v="1910"/>
    <x v="3"/>
    <n v="7"/>
    <x v="7"/>
    <n v="3"/>
    <n v="15"/>
    <x v="4"/>
    <x v="9"/>
    <n v="11558"/>
    <n v="6"/>
    <n v="14"/>
    <n v="14"/>
  </r>
  <r>
    <x v="929"/>
    <x v="928"/>
    <n v="81656"/>
    <n v="2266"/>
    <x v="3"/>
    <n v="7"/>
    <x v="7"/>
    <n v="3"/>
    <n v="16"/>
    <x v="5"/>
    <x v="9"/>
    <n v="13641"/>
    <n v="6"/>
    <n v="14"/>
    <n v="14"/>
  </r>
  <r>
    <x v="930"/>
    <x v="929"/>
    <n v="38810"/>
    <n v="1078"/>
    <x v="3"/>
    <n v="7"/>
    <x v="7"/>
    <n v="3"/>
    <n v="17"/>
    <x v="6"/>
    <x v="9"/>
    <n v="6514"/>
    <n v="6"/>
    <n v="14"/>
    <n v="14"/>
  </r>
  <r>
    <x v="931"/>
    <x v="930"/>
    <n v="44223"/>
    <n v="1227"/>
    <x v="3"/>
    <n v="7"/>
    <x v="7"/>
    <n v="3"/>
    <n v="18"/>
    <x v="0"/>
    <x v="9"/>
    <n v="7381"/>
    <n v="6"/>
    <n v="14"/>
    <n v="14"/>
  </r>
  <r>
    <x v="932"/>
    <x v="931"/>
    <n v="32437"/>
    <n v="900"/>
    <x v="3"/>
    <n v="7"/>
    <x v="7"/>
    <n v="3"/>
    <n v="19"/>
    <x v="1"/>
    <x v="9"/>
    <n v="5433"/>
    <n v="6"/>
    <n v="14"/>
    <n v="14"/>
  </r>
  <r>
    <x v="933"/>
    <x v="861"/>
    <n v="36607"/>
    <n v="1016"/>
    <x v="3"/>
    <n v="7"/>
    <x v="7"/>
    <n v="3"/>
    <n v="20"/>
    <x v="2"/>
    <x v="9"/>
    <n v="6116"/>
    <n v="6"/>
    <n v="14"/>
    <n v="14"/>
  </r>
  <r>
    <x v="934"/>
    <x v="932"/>
    <n v="30133"/>
    <n v="836"/>
    <x v="3"/>
    <n v="7"/>
    <x v="7"/>
    <n v="3"/>
    <n v="21"/>
    <x v="3"/>
    <x v="9"/>
    <n v="5037"/>
    <n v="6"/>
    <n v="14"/>
    <n v="14"/>
  </r>
  <r>
    <x v="935"/>
    <x v="933"/>
    <n v="52384"/>
    <n v="1454"/>
    <x v="3"/>
    <n v="7"/>
    <x v="7"/>
    <n v="3"/>
    <n v="22"/>
    <x v="4"/>
    <x v="9"/>
    <n v="8764"/>
    <n v="6"/>
    <n v="14"/>
    <n v="14"/>
  </r>
  <r>
    <x v="936"/>
    <x v="934"/>
    <n v="66114"/>
    <n v="1835"/>
    <x v="3"/>
    <n v="7"/>
    <x v="7"/>
    <n v="3"/>
    <n v="23"/>
    <x v="5"/>
    <x v="9"/>
    <n v="11058"/>
    <n v="6"/>
    <n v="14"/>
    <n v="14"/>
  </r>
  <r>
    <x v="937"/>
    <x v="935"/>
    <n v="35019"/>
    <n v="972"/>
    <x v="3"/>
    <n v="7"/>
    <x v="7"/>
    <n v="3"/>
    <n v="24"/>
    <x v="6"/>
    <x v="9"/>
    <n v="5862"/>
    <n v="6"/>
    <n v="14"/>
    <n v="14"/>
  </r>
  <r>
    <x v="938"/>
    <x v="936"/>
    <n v="36887"/>
    <n v="1024"/>
    <x v="3"/>
    <n v="7"/>
    <x v="7"/>
    <n v="3"/>
    <n v="25"/>
    <x v="0"/>
    <x v="9"/>
    <n v="6198"/>
    <n v="6"/>
    <n v="14"/>
    <n v="14"/>
  </r>
  <r>
    <x v="939"/>
    <x v="937"/>
    <n v="37605"/>
    <n v="1044"/>
    <x v="3"/>
    <n v="7"/>
    <x v="7"/>
    <n v="3"/>
    <n v="26"/>
    <x v="1"/>
    <x v="9"/>
    <n v="6290"/>
    <n v="6"/>
    <n v="14"/>
    <n v="14"/>
  </r>
  <r>
    <x v="940"/>
    <x v="938"/>
    <n v="58196"/>
    <n v="1611"/>
    <x v="3"/>
    <n v="7"/>
    <x v="7"/>
    <n v="3"/>
    <n v="27"/>
    <x v="2"/>
    <x v="9"/>
    <n v="9585"/>
    <n v="6"/>
    <n v="14"/>
    <n v="14"/>
  </r>
  <r>
    <x v="941"/>
    <x v="939"/>
    <n v="44545"/>
    <n v="1234"/>
    <x v="3"/>
    <n v="7"/>
    <x v="7"/>
    <n v="3"/>
    <n v="28"/>
    <x v="3"/>
    <x v="9"/>
    <n v="7363"/>
    <n v="6"/>
    <n v="14"/>
    <n v="14"/>
  </r>
  <r>
    <x v="942"/>
    <x v="940"/>
    <n v="80347"/>
    <n v="2223"/>
    <x v="3"/>
    <n v="7"/>
    <x v="7"/>
    <n v="3"/>
    <n v="29"/>
    <x v="4"/>
    <x v="9"/>
    <n v="13162"/>
    <n v="6"/>
    <n v="14"/>
    <n v="14"/>
  </r>
  <r>
    <x v="943"/>
    <x v="941"/>
    <n v="81874"/>
    <n v="2267"/>
    <x v="3"/>
    <n v="7"/>
    <x v="7"/>
    <n v="3"/>
    <n v="30"/>
    <x v="5"/>
    <x v="9"/>
    <n v="13469"/>
    <n v="6"/>
    <n v="14"/>
    <n v="14"/>
  </r>
  <r>
    <x v="944"/>
    <x v="942"/>
    <n v="51145"/>
    <n v="1415"/>
    <x v="3"/>
    <n v="7"/>
    <x v="7"/>
    <n v="3"/>
    <n v="31"/>
    <x v="6"/>
    <x v="9"/>
    <n v="8370"/>
    <n v="6"/>
    <n v="14"/>
    <n v="14"/>
  </r>
  <r>
    <x v="945"/>
    <x v="943"/>
    <n v="55946"/>
    <n v="1548"/>
    <x v="3"/>
    <n v="8"/>
    <x v="8"/>
    <n v="3"/>
    <n v="1"/>
    <x v="0"/>
    <x v="9"/>
    <n v="9188"/>
    <n v="6"/>
    <n v="14"/>
    <n v="14"/>
  </r>
  <r>
    <x v="946"/>
    <x v="944"/>
    <n v="60630"/>
    <n v="1679"/>
    <x v="3"/>
    <n v="8"/>
    <x v="8"/>
    <n v="3"/>
    <n v="2"/>
    <x v="1"/>
    <x v="9"/>
    <n v="10012"/>
    <n v="6"/>
    <n v="14"/>
    <n v="14"/>
  </r>
  <r>
    <x v="947"/>
    <x v="945"/>
    <n v="41611"/>
    <n v="1152"/>
    <x v="3"/>
    <n v="8"/>
    <x v="8"/>
    <n v="3"/>
    <n v="3"/>
    <x v="2"/>
    <x v="9"/>
    <n v="6831"/>
    <n v="6"/>
    <n v="14"/>
    <n v="14"/>
  </r>
  <r>
    <x v="948"/>
    <x v="946"/>
    <n v="39783"/>
    <n v="1101"/>
    <x v="3"/>
    <n v="8"/>
    <x v="8"/>
    <n v="3"/>
    <n v="4"/>
    <x v="3"/>
    <x v="9"/>
    <n v="6508"/>
    <n v="6"/>
    <n v="14"/>
    <n v="14"/>
  </r>
  <r>
    <x v="949"/>
    <x v="947"/>
    <n v="63386"/>
    <n v="1746"/>
    <x v="3"/>
    <n v="8"/>
    <x v="8"/>
    <n v="3"/>
    <n v="5"/>
    <x v="4"/>
    <x v="9"/>
    <n v="10067"/>
    <n v="6"/>
    <n v="14"/>
    <n v="14"/>
  </r>
  <r>
    <x v="950"/>
    <x v="948"/>
    <n v="61501"/>
    <n v="1700"/>
    <x v="3"/>
    <n v="8"/>
    <x v="8"/>
    <n v="3"/>
    <n v="6"/>
    <x v="5"/>
    <x v="9"/>
    <n v="10008"/>
    <n v="6"/>
    <n v="14"/>
    <n v="14"/>
  </r>
  <r>
    <x v="951"/>
    <x v="949"/>
    <n v="25872"/>
    <n v="715"/>
    <x v="3"/>
    <n v="8"/>
    <x v="8"/>
    <n v="3"/>
    <n v="7"/>
    <x v="6"/>
    <x v="9"/>
    <n v="4194"/>
    <n v="6"/>
    <n v="14"/>
    <n v="14"/>
  </r>
  <r>
    <x v="952"/>
    <x v="950"/>
    <n v="32490"/>
    <n v="897"/>
    <x v="3"/>
    <n v="8"/>
    <x v="8"/>
    <n v="3"/>
    <n v="8"/>
    <x v="0"/>
    <x v="9"/>
    <n v="5236"/>
    <n v="6"/>
    <n v="14"/>
    <n v="14"/>
  </r>
  <r>
    <x v="953"/>
    <x v="951"/>
    <n v="26577"/>
    <n v="733"/>
    <x v="3"/>
    <n v="8"/>
    <x v="8"/>
    <n v="3"/>
    <n v="9"/>
    <x v="1"/>
    <x v="9"/>
    <n v="4255"/>
    <n v="6"/>
    <n v="14"/>
    <n v="14"/>
  </r>
  <r>
    <x v="954"/>
    <x v="952"/>
    <n v="155136"/>
    <n v="4282"/>
    <x v="3"/>
    <n v="8"/>
    <x v="8"/>
    <n v="3"/>
    <n v="10"/>
    <x v="2"/>
    <x v="2"/>
    <n v="-8324"/>
    <n v="-2"/>
    <n v="-6"/>
    <n v="-6"/>
  </r>
  <r>
    <x v="955"/>
    <x v="953"/>
    <n v="103827"/>
    <n v="2867"/>
    <x v="3"/>
    <n v="8"/>
    <x v="8"/>
    <n v="3"/>
    <n v="11"/>
    <x v="3"/>
    <x v="4"/>
    <n v="-3959"/>
    <n v="-1"/>
    <n v="-4"/>
    <n v="-4"/>
  </r>
  <r>
    <x v="956"/>
    <x v="954"/>
    <n v="220379"/>
    <n v="6082"/>
    <x v="3"/>
    <n v="8"/>
    <x v="8"/>
    <n v="3"/>
    <n v="12"/>
    <x v="4"/>
    <x v="4"/>
    <n v="-9714"/>
    <n v="-2"/>
    <n v="-5"/>
    <n v="-5"/>
  </r>
  <r>
    <x v="957"/>
    <x v="955"/>
    <n v="281658"/>
    <n v="7771"/>
    <x v="3"/>
    <n v="8"/>
    <x v="8"/>
    <n v="3"/>
    <n v="13"/>
    <x v="5"/>
    <x v="2"/>
    <n v="-15387"/>
    <n v="-2"/>
    <n v="-6"/>
    <n v="-6"/>
  </r>
  <r>
    <x v="958"/>
    <x v="956"/>
    <n v="129602"/>
    <n v="3576"/>
    <x v="3"/>
    <n v="8"/>
    <x v="8"/>
    <n v="3"/>
    <n v="14"/>
    <x v="6"/>
    <x v="2"/>
    <n v="-6517"/>
    <n v="-2"/>
    <n v="-5"/>
    <n v="-5"/>
  </r>
  <r>
    <x v="959"/>
    <x v="957"/>
    <n v="168580"/>
    <n v="4649"/>
    <x v="3"/>
    <n v="8"/>
    <x v="8"/>
    <n v="3"/>
    <n v="15"/>
    <x v="0"/>
    <x v="4"/>
    <n v="-5853"/>
    <n v="-1"/>
    <n v="-4"/>
    <n v="-4"/>
  </r>
  <r>
    <x v="960"/>
    <x v="958"/>
    <n v="119758"/>
    <n v="3302"/>
    <x v="3"/>
    <n v="8"/>
    <x v="8"/>
    <n v="3"/>
    <n v="16"/>
    <x v="1"/>
    <x v="4"/>
    <n v="-5049"/>
    <n v="-2"/>
    <n v="-4"/>
    <n v="-4"/>
  </r>
  <r>
    <x v="961"/>
    <x v="959"/>
    <n v="128298"/>
    <n v="3536"/>
    <x v="3"/>
    <n v="8"/>
    <x v="8"/>
    <n v="3"/>
    <n v="17"/>
    <x v="2"/>
    <x v="4"/>
    <n v="-5979"/>
    <n v="-2"/>
    <n v="-5"/>
    <n v="-5"/>
  </r>
  <r>
    <x v="962"/>
    <x v="960"/>
    <n v="117374"/>
    <n v="3236"/>
    <x v="3"/>
    <n v="8"/>
    <x v="8"/>
    <n v="3"/>
    <n v="18"/>
    <x v="3"/>
    <x v="4"/>
    <n v="-5364"/>
    <n v="-2"/>
    <n v="-5"/>
    <n v="-5"/>
  </r>
  <r>
    <x v="963"/>
    <x v="961"/>
    <n v="241090"/>
    <n v="6646"/>
    <x v="3"/>
    <n v="8"/>
    <x v="8"/>
    <n v="3"/>
    <n v="19"/>
    <x v="4"/>
    <x v="4"/>
    <n v="-11229"/>
    <n v="-2"/>
    <n v="-5"/>
    <n v="-5"/>
  </r>
  <r>
    <x v="964"/>
    <x v="962"/>
    <n v="262145"/>
    <n v="7220"/>
    <x v="3"/>
    <n v="8"/>
    <x v="8"/>
    <n v="3"/>
    <n v="20"/>
    <x v="5"/>
    <x v="4"/>
    <n v="-12164"/>
    <n v="-2"/>
    <n v="-5"/>
    <n v="-5"/>
  </r>
  <r>
    <x v="965"/>
    <x v="963"/>
    <n v="143734"/>
    <n v="3958"/>
    <x v="3"/>
    <n v="8"/>
    <x v="8"/>
    <n v="3"/>
    <n v="21"/>
    <x v="6"/>
    <x v="2"/>
    <n v="-7254"/>
    <n v="-2"/>
    <n v="-5"/>
    <n v="-5"/>
  </r>
  <r>
    <x v="966"/>
    <x v="964"/>
    <n v="133350"/>
    <n v="3672"/>
    <x v="3"/>
    <n v="8"/>
    <x v="8"/>
    <n v="3"/>
    <n v="22"/>
    <x v="0"/>
    <x v="4"/>
    <n v="-5980"/>
    <n v="-2"/>
    <n v="-5"/>
    <n v="-5"/>
  </r>
  <r>
    <x v="967"/>
    <x v="965"/>
    <n v="37649"/>
    <n v="1035"/>
    <x v="3"/>
    <n v="8"/>
    <x v="8"/>
    <n v="3"/>
    <n v="23"/>
    <x v="1"/>
    <x v="9"/>
    <n v="5888"/>
    <n v="6"/>
    <n v="14"/>
    <n v="14"/>
  </r>
  <r>
    <x v="968"/>
    <x v="966"/>
    <n v="127699"/>
    <n v="3549"/>
    <x v="3"/>
    <n v="8"/>
    <x v="8"/>
    <n v="3"/>
    <n v="24"/>
    <x v="2"/>
    <x v="2"/>
    <n v="-7292"/>
    <n v="-2"/>
    <n v="-6"/>
    <n v="-6"/>
  </r>
  <r>
    <x v="969"/>
    <x v="967"/>
    <n v="240430"/>
    <n v="6647"/>
    <x v="3"/>
    <n v="8"/>
    <x v="8"/>
    <n v="3"/>
    <n v="25"/>
    <x v="3"/>
    <x v="2"/>
    <n v="-14054"/>
    <n v="-2"/>
    <n v="-6"/>
    <n v="-6"/>
  </r>
  <r>
    <x v="970"/>
    <x v="968"/>
    <n v="358772"/>
    <n v="9908"/>
    <x v="3"/>
    <n v="8"/>
    <x v="8"/>
    <n v="3"/>
    <n v="26"/>
    <x v="4"/>
    <x v="2"/>
    <n v="-20872"/>
    <n v="-2"/>
    <n v="-6"/>
    <n v="-6"/>
  </r>
  <r>
    <x v="971"/>
    <x v="969"/>
    <n v="376756"/>
    <n v="10393"/>
    <x v="3"/>
    <n v="8"/>
    <x v="8"/>
    <n v="3"/>
    <n v="27"/>
    <x v="5"/>
    <x v="2"/>
    <n v="-21686"/>
    <n v="-2"/>
    <n v="-6"/>
    <n v="-6"/>
  </r>
  <r>
    <x v="972"/>
    <x v="970"/>
    <n v="163401"/>
    <n v="4507"/>
    <x v="3"/>
    <n v="8"/>
    <x v="8"/>
    <n v="3"/>
    <n v="28"/>
    <x v="6"/>
    <x v="2"/>
    <n v="-9508"/>
    <n v="-2"/>
    <n v="-6"/>
    <n v="-6"/>
  </r>
  <r>
    <x v="973"/>
    <x v="971"/>
    <n v="169479"/>
    <n v="4672"/>
    <x v="3"/>
    <n v="8"/>
    <x v="8"/>
    <n v="3"/>
    <n v="29"/>
    <x v="0"/>
    <x v="2"/>
    <n v="-9853"/>
    <n v="-2"/>
    <n v="-6"/>
    <n v="-6"/>
  </r>
  <r>
    <x v="974"/>
    <x v="972"/>
    <n v="142300"/>
    <n v="3924"/>
    <x v="3"/>
    <n v="8"/>
    <x v="8"/>
    <n v="3"/>
    <n v="30"/>
    <x v="1"/>
    <x v="2"/>
    <n v="-8338"/>
    <n v="-2"/>
    <n v="-6"/>
    <n v="-6"/>
  </r>
  <r>
    <x v="975"/>
    <x v="973"/>
    <n v="250572"/>
    <n v="6918"/>
    <x v="3"/>
    <n v="8"/>
    <x v="8"/>
    <n v="3"/>
    <n v="31"/>
    <x v="2"/>
    <x v="2"/>
    <n v="-14267"/>
    <n v="-2"/>
    <n v="-6"/>
    <n v="-6"/>
  </r>
  <r>
    <x v="976"/>
    <x v="974"/>
    <n v="333031"/>
    <n v="9183"/>
    <x v="3"/>
    <n v="9"/>
    <x v="9"/>
    <n v="3"/>
    <n v="1"/>
    <x v="3"/>
    <x v="2"/>
    <n v="-19539"/>
    <n v="-2"/>
    <n v="-6"/>
    <n v="-6"/>
  </r>
  <r>
    <x v="977"/>
    <x v="975"/>
    <n v="392493"/>
    <n v="10830"/>
    <x v="3"/>
    <n v="9"/>
    <x v="9"/>
    <n v="3"/>
    <n v="2"/>
    <x v="4"/>
    <x v="2"/>
    <n v="-22138"/>
    <n v="-2"/>
    <n v="-6"/>
    <n v="-6"/>
  </r>
  <r>
    <x v="978"/>
    <x v="976"/>
    <n v="391843"/>
    <n v="10800"/>
    <x v="3"/>
    <n v="9"/>
    <x v="9"/>
    <n v="3"/>
    <n v="3"/>
    <x v="5"/>
    <x v="2"/>
    <n v="-22751"/>
    <n v="-2"/>
    <n v="-6"/>
    <n v="-6"/>
  </r>
  <r>
    <x v="979"/>
    <x v="977"/>
    <n v="222164"/>
    <n v="6119"/>
    <x v="3"/>
    <n v="9"/>
    <x v="9"/>
    <n v="3"/>
    <n v="4"/>
    <x v="6"/>
    <x v="2"/>
    <n v="-13138"/>
    <n v="-2"/>
    <n v="-6"/>
    <n v="-6"/>
  </r>
  <r>
    <x v="980"/>
    <x v="978"/>
    <n v="242590"/>
    <n v="6685"/>
    <x v="3"/>
    <n v="9"/>
    <x v="9"/>
    <n v="3"/>
    <n v="5"/>
    <x v="0"/>
    <x v="2"/>
    <n v="-14412"/>
    <n v="-2"/>
    <n v="-6"/>
    <n v="-6"/>
  </r>
  <r>
    <x v="981"/>
    <x v="979"/>
    <n v="164109"/>
    <n v="4519"/>
    <x v="3"/>
    <n v="9"/>
    <x v="9"/>
    <n v="3"/>
    <n v="6"/>
    <x v="1"/>
    <x v="2"/>
    <n v="-9614"/>
    <n v="-2"/>
    <n v="-6"/>
    <n v="-6"/>
  </r>
  <r>
    <x v="982"/>
    <x v="980"/>
    <n v="43830"/>
    <n v="1206"/>
    <x v="3"/>
    <n v="9"/>
    <x v="9"/>
    <n v="3"/>
    <n v="7"/>
    <x v="2"/>
    <x v="9"/>
    <n v="6906"/>
    <n v="6"/>
    <n v="14"/>
    <n v="14"/>
  </r>
  <r>
    <x v="983"/>
    <x v="981"/>
    <n v="37392"/>
    <n v="1029"/>
    <x v="3"/>
    <n v="9"/>
    <x v="9"/>
    <n v="3"/>
    <n v="8"/>
    <x v="3"/>
    <x v="9"/>
    <n v="5900"/>
    <n v="6"/>
    <n v="14"/>
    <n v="14"/>
  </r>
  <r>
    <x v="984"/>
    <x v="982"/>
    <n v="69612"/>
    <n v="1917"/>
    <x v="3"/>
    <n v="9"/>
    <x v="9"/>
    <n v="3"/>
    <n v="9"/>
    <x v="4"/>
    <x v="12"/>
    <n v="7724"/>
    <n v="4"/>
    <n v="10"/>
    <n v="10"/>
  </r>
  <r>
    <x v="985"/>
    <x v="983"/>
    <n v="76592"/>
    <n v="2108"/>
    <x v="3"/>
    <n v="9"/>
    <x v="9"/>
    <n v="3"/>
    <n v="10"/>
    <x v="5"/>
    <x v="12"/>
    <n v="8478"/>
    <n v="4"/>
    <n v="10"/>
    <n v="10"/>
  </r>
  <r>
    <x v="986"/>
    <x v="984"/>
    <n v="44014"/>
    <n v="1211"/>
    <x v="3"/>
    <n v="9"/>
    <x v="9"/>
    <n v="3"/>
    <n v="11"/>
    <x v="6"/>
    <x v="12"/>
    <n v="4817"/>
    <n v="4"/>
    <n v="10"/>
    <n v="10"/>
  </r>
  <r>
    <x v="987"/>
    <x v="985"/>
    <n v="46884"/>
    <n v="1291"/>
    <x v="3"/>
    <n v="9"/>
    <x v="9"/>
    <n v="3"/>
    <n v="12"/>
    <x v="0"/>
    <x v="12"/>
    <n v="5191"/>
    <n v="4"/>
    <n v="10"/>
    <n v="10"/>
  </r>
  <r>
    <x v="988"/>
    <x v="986"/>
    <n v="27399"/>
    <n v="755"/>
    <x v="3"/>
    <n v="9"/>
    <x v="9"/>
    <n v="3"/>
    <n v="13"/>
    <x v="1"/>
    <x v="12"/>
    <n v="3026"/>
    <n v="4"/>
    <n v="10"/>
    <n v="10"/>
  </r>
  <r>
    <x v="989"/>
    <x v="987"/>
    <n v="18375"/>
    <n v="508"/>
    <x v="3"/>
    <n v="9"/>
    <x v="9"/>
    <n v="3"/>
    <n v="14"/>
    <x v="2"/>
    <x v="12"/>
    <n v="2120"/>
    <n v="4"/>
    <n v="10"/>
    <n v="10"/>
  </r>
  <r>
    <x v="990"/>
    <x v="988"/>
    <n v="36465"/>
    <n v="1010"/>
    <x v="3"/>
    <n v="9"/>
    <x v="9"/>
    <n v="3"/>
    <n v="15"/>
    <x v="3"/>
    <x v="12"/>
    <n v="4277"/>
    <n v="4"/>
    <n v="10"/>
    <n v="10"/>
  </r>
  <r>
    <x v="991"/>
    <x v="989"/>
    <n v="62545"/>
    <n v="1733"/>
    <x v="3"/>
    <n v="9"/>
    <x v="9"/>
    <n v="3"/>
    <n v="16"/>
    <x v="4"/>
    <x v="12"/>
    <n v="7320"/>
    <n v="4"/>
    <n v="10"/>
    <n v="10"/>
  </r>
  <r>
    <x v="992"/>
    <x v="990"/>
    <n v="89572"/>
    <n v="2482"/>
    <x v="3"/>
    <n v="9"/>
    <x v="9"/>
    <n v="3"/>
    <n v="17"/>
    <x v="5"/>
    <x v="12"/>
    <n v="10548"/>
    <n v="4"/>
    <n v="11"/>
    <n v="11"/>
  </r>
  <r>
    <x v="993"/>
    <x v="991"/>
    <n v="44594"/>
    <n v="1235"/>
    <x v="3"/>
    <n v="9"/>
    <x v="9"/>
    <n v="3"/>
    <n v="18"/>
    <x v="6"/>
    <x v="12"/>
    <n v="5231"/>
    <n v="4"/>
    <n v="10"/>
    <n v="10"/>
  </r>
  <r>
    <x v="994"/>
    <x v="992"/>
    <n v="41660"/>
    <n v="1155"/>
    <x v="3"/>
    <n v="9"/>
    <x v="9"/>
    <n v="3"/>
    <n v="19"/>
    <x v="0"/>
    <x v="12"/>
    <n v="4906"/>
    <n v="4"/>
    <n v="11"/>
    <n v="11"/>
  </r>
  <r>
    <x v="995"/>
    <x v="993"/>
    <n v="34031"/>
    <n v="940"/>
    <x v="3"/>
    <n v="9"/>
    <x v="9"/>
    <n v="3"/>
    <n v="20"/>
    <x v="1"/>
    <x v="12"/>
    <n v="3893"/>
    <n v="4"/>
    <n v="10"/>
    <n v="10"/>
  </r>
  <r>
    <x v="996"/>
    <x v="994"/>
    <n v="44832"/>
    <n v="1241"/>
    <x v="3"/>
    <n v="9"/>
    <x v="9"/>
    <n v="3"/>
    <n v="21"/>
    <x v="2"/>
    <x v="12"/>
    <n v="5253"/>
    <n v="4"/>
    <n v="10"/>
    <n v="10"/>
  </r>
  <r>
    <x v="997"/>
    <x v="995"/>
    <n v="37565"/>
    <n v="1039"/>
    <x v="3"/>
    <n v="9"/>
    <x v="9"/>
    <n v="3"/>
    <n v="22"/>
    <x v="3"/>
    <x v="12"/>
    <n v="4320"/>
    <n v="4"/>
    <n v="10"/>
    <n v="10"/>
  </r>
  <r>
    <x v="998"/>
    <x v="996"/>
    <n v="131965"/>
    <n v="3657"/>
    <x v="3"/>
    <n v="9"/>
    <x v="9"/>
    <n v="3"/>
    <n v="23"/>
    <x v="4"/>
    <x v="12"/>
    <n v="15539"/>
    <n v="4"/>
    <n v="11"/>
    <n v="11"/>
  </r>
  <r>
    <x v="999"/>
    <x v="997"/>
    <n v="135498"/>
    <n v="3758"/>
    <x v="3"/>
    <n v="9"/>
    <x v="9"/>
    <n v="3"/>
    <n v="24"/>
    <x v="5"/>
    <x v="12"/>
    <n v="16141"/>
    <n v="4"/>
    <n v="11"/>
    <n v="11"/>
  </r>
  <r>
    <x v="1000"/>
    <x v="998"/>
    <n v="64759"/>
    <n v="1797"/>
    <x v="3"/>
    <n v="9"/>
    <x v="9"/>
    <n v="3"/>
    <n v="25"/>
    <x v="6"/>
    <x v="12"/>
    <n v="7699"/>
    <n v="4"/>
    <n v="11"/>
    <n v="11"/>
  </r>
  <r>
    <x v="1001"/>
    <x v="999"/>
    <n v="60179"/>
    <n v="1671"/>
    <x v="3"/>
    <n v="9"/>
    <x v="9"/>
    <n v="3"/>
    <n v="26"/>
    <x v="0"/>
    <x v="12"/>
    <n v="7176"/>
    <n v="4"/>
    <n v="11"/>
    <n v="11"/>
  </r>
  <r>
    <x v="1002"/>
    <x v="1000"/>
    <n v="52813"/>
    <n v="1462"/>
    <x v="3"/>
    <n v="9"/>
    <x v="9"/>
    <n v="3"/>
    <n v="27"/>
    <x v="1"/>
    <x v="12"/>
    <n v="6129"/>
    <n v="4"/>
    <n v="10"/>
    <n v="10"/>
  </r>
  <r>
    <x v="1003"/>
    <x v="1001"/>
    <n v="57169"/>
    <n v="1581"/>
    <x v="3"/>
    <n v="9"/>
    <x v="9"/>
    <n v="3"/>
    <n v="28"/>
    <x v="2"/>
    <x v="6"/>
    <n v="1628"/>
    <n v="1"/>
    <n v="3"/>
    <n v="3"/>
  </r>
  <r>
    <x v="1004"/>
    <x v="1002"/>
    <n v="55187"/>
    <n v="1534"/>
    <x v="3"/>
    <n v="9"/>
    <x v="9"/>
    <n v="3"/>
    <n v="29"/>
    <x v="3"/>
    <x v="6"/>
    <n v="1832"/>
    <n v="1"/>
    <n v="3"/>
    <n v="3"/>
  </r>
  <r>
    <x v="1005"/>
    <x v="1003"/>
    <n v="151036"/>
    <n v="4216"/>
    <x v="3"/>
    <n v="9"/>
    <x v="9"/>
    <n v="3"/>
    <n v="30"/>
    <x v="4"/>
    <x v="6"/>
    <n v="4882"/>
    <n v="1"/>
    <n v="3"/>
    <n v="3"/>
  </r>
  <r>
    <x v="1006"/>
    <x v="769"/>
    <n v="201417"/>
    <n v="5632"/>
    <x v="3"/>
    <n v="10"/>
    <x v="10"/>
    <n v="4"/>
    <n v="1"/>
    <x v="5"/>
    <x v="6"/>
    <n v="7072"/>
    <n v="1"/>
    <n v="3"/>
    <n v="3"/>
  </r>
  <r>
    <x v="1007"/>
    <x v="1004"/>
    <n v="113347"/>
    <n v="3173"/>
    <x v="3"/>
    <n v="10"/>
    <x v="10"/>
    <n v="4"/>
    <n v="2"/>
    <x v="6"/>
    <x v="6"/>
    <n v="5234"/>
    <n v="2"/>
    <n v="4"/>
    <n v="4"/>
  </r>
  <r>
    <x v="1008"/>
    <x v="1005"/>
    <n v="126506"/>
    <n v="3540"/>
    <x v="3"/>
    <n v="10"/>
    <x v="10"/>
    <n v="4"/>
    <n v="3"/>
    <x v="0"/>
    <x v="12"/>
    <n v="16253"/>
    <n v="5"/>
    <n v="11"/>
    <n v="11"/>
  </r>
  <r>
    <x v="1009"/>
    <x v="1006"/>
    <n v="85492"/>
    <n v="2397"/>
    <x v="3"/>
    <n v="10"/>
    <x v="10"/>
    <n v="4"/>
    <n v="4"/>
    <x v="1"/>
    <x v="12"/>
    <n v="11129"/>
    <n v="5"/>
    <n v="12"/>
    <n v="12"/>
  </r>
  <r>
    <x v="1010"/>
    <x v="1007"/>
    <n v="69675"/>
    <n v="1955"/>
    <x v="3"/>
    <n v="10"/>
    <x v="10"/>
    <n v="4"/>
    <n v="5"/>
    <x v="2"/>
    <x v="12"/>
    <n v="9186"/>
    <n v="5"/>
    <n v="12"/>
    <n v="12"/>
  </r>
  <r>
    <x v="1011"/>
    <x v="1008"/>
    <n v="61976"/>
    <n v="1740"/>
    <x v="3"/>
    <n v="10"/>
    <x v="10"/>
    <n v="4"/>
    <n v="6"/>
    <x v="3"/>
    <x v="12"/>
    <n v="8303"/>
    <n v="5"/>
    <n v="12"/>
    <n v="12"/>
  </r>
  <r>
    <x v="1012"/>
    <x v="1009"/>
    <n v="77447"/>
    <n v="2176"/>
    <x v="3"/>
    <n v="10"/>
    <x v="10"/>
    <n v="4"/>
    <n v="7"/>
    <x v="4"/>
    <x v="12"/>
    <n v="10302"/>
    <n v="5"/>
    <n v="12"/>
    <n v="12"/>
  </r>
  <r>
    <x v="1013"/>
    <x v="1010"/>
    <n v="81209"/>
    <n v="2283"/>
    <x v="3"/>
    <n v="10"/>
    <x v="10"/>
    <n v="4"/>
    <n v="8"/>
    <x v="5"/>
    <x v="12"/>
    <n v="10844"/>
    <n v="5"/>
    <n v="12"/>
    <n v="12"/>
  </r>
  <r>
    <x v="1014"/>
    <x v="1011"/>
    <n v="45607"/>
    <n v="1284"/>
    <x v="3"/>
    <n v="10"/>
    <x v="10"/>
    <n v="4"/>
    <n v="9"/>
    <x v="6"/>
    <x v="12"/>
    <n v="6144"/>
    <n v="5"/>
    <n v="12"/>
    <n v="12"/>
  </r>
  <r>
    <x v="1015"/>
    <x v="1012"/>
    <n v="44984"/>
    <n v="1263"/>
    <x v="3"/>
    <n v="10"/>
    <x v="10"/>
    <n v="4"/>
    <n v="10"/>
    <x v="0"/>
    <x v="12"/>
    <n v="5951"/>
    <n v="5"/>
    <n v="12"/>
    <n v="12"/>
  </r>
  <r>
    <x v="1016"/>
    <x v="1013"/>
    <n v="31885"/>
    <n v="896"/>
    <x v="3"/>
    <n v="10"/>
    <x v="10"/>
    <n v="4"/>
    <n v="11"/>
    <x v="1"/>
    <x v="12"/>
    <n v="4229"/>
    <n v="5"/>
    <n v="12"/>
    <n v="12"/>
  </r>
  <r>
    <x v="1017"/>
    <x v="1014"/>
    <n v="27818"/>
    <n v="768"/>
    <x v="3"/>
    <n v="10"/>
    <x v="10"/>
    <n v="4"/>
    <n v="12"/>
    <x v="2"/>
    <x v="12"/>
    <n v="3206"/>
    <n v="4"/>
    <n v="10"/>
    <n v="10"/>
  </r>
  <r>
    <x v="1018"/>
    <x v="1015"/>
    <n v="19704"/>
    <n v="521"/>
    <x v="3"/>
    <n v="10"/>
    <x v="10"/>
    <n v="4"/>
    <n v="13"/>
    <x v="3"/>
    <x v="10"/>
    <n v="2630"/>
    <n v="5"/>
    <n v="12"/>
    <n v="12"/>
  </r>
  <r>
    <x v="1019"/>
    <x v="1016"/>
    <n v="62071"/>
    <n v="1618"/>
    <x v="3"/>
    <n v="10"/>
    <x v="10"/>
    <n v="4"/>
    <n v="14"/>
    <x v="4"/>
    <x v="10"/>
    <n v="7370"/>
    <n v="5"/>
    <n v="11"/>
    <n v="11"/>
  </r>
  <r>
    <x v="1020"/>
    <x v="1017"/>
    <n v="83372"/>
    <n v="2147"/>
    <x v="3"/>
    <n v="10"/>
    <x v="10"/>
    <n v="4"/>
    <n v="15"/>
    <x v="5"/>
    <x v="10"/>
    <n v="8787"/>
    <n v="4"/>
    <n v="10"/>
    <n v="10"/>
  </r>
  <r>
    <x v="1021"/>
    <x v="1018"/>
    <n v="52701"/>
    <n v="1335"/>
    <x v="3"/>
    <n v="10"/>
    <x v="10"/>
    <n v="4"/>
    <n v="16"/>
    <x v="6"/>
    <x v="10"/>
    <n v="4595"/>
    <n v="3"/>
    <n v="8"/>
    <n v="8"/>
  </r>
  <r>
    <x v="1022"/>
    <x v="1019"/>
    <n v="51765"/>
    <n v="1332"/>
    <x v="3"/>
    <n v="10"/>
    <x v="10"/>
    <n v="4"/>
    <n v="17"/>
    <x v="0"/>
    <x v="10"/>
    <n v="5420"/>
    <n v="4"/>
    <n v="9"/>
    <n v="9"/>
  </r>
  <r>
    <x v="1023"/>
    <x v="1020"/>
    <n v="37289"/>
    <n v="954"/>
    <x v="3"/>
    <n v="10"/>
    <x v="10"/>
    <n v="4"/>
    <n v="18"/>
    <x v="1"/>
    <x v="10"/>
    <n v="3662"/>
    <n v="4"/>
    <n v="9"/>
    <n v="9"/>
  </r>
  <r>
    <x v="1024"/>
    <x v="1021"/>
    <n v="33678"/>
    <n v="877"/>
    <x v="3"/>
    <n v="10"/>
    <x v="10"/>
    <n v="4"/>
    <n v="19"/>
    <x v="2"/>
    <x v="10"/>
    <n v="3994"/>
    <n v="5"/>
    <n v="11"/>
    <n v="11"/>
  </r>
  <r>
    <x v="1025"/>
    <x v="1022"/>
    <n v="35038"/>
    <n v="906"/>
    <x v="3"/>
    <n v="10"/>
    <x v="10"/>
    <n v="4"/>
    <n v="20"/>
    <x v="3"/>
    <x v="10"/>
    <n v="3610"/>
    <n v="4"/>
    <n v="9"/>
    <n v="9"/>
  </r>
  <r>
    <x v="1026"/>
    <x v="1023"/>
    <n v="86810"/>
    <n v="2249"/>
    <x v="3"/>
    <n v="10"/>
    <x v="10"/>
    <n v="4"/>
    <n v="21"/>
    <x v="4"/>
    <x v="10"/>
    <n v="9210"/>
    <n v="4"/>
    <n v="10"/>
    <n v="10"/>
  </r>
  <r>
    <x v="1027"/>
    <x v="1024"/>
    <n v="95930"/>
    <n v="2472"/>
    <x v="3"/>
    <n v="10"/>
    <x v="10"/>
    <n v="4"/>
    <n v="22"/>
    <x v="5"/>
    <x v="10"/>
    <n v="9733"/>
    <n v="4"/>
    <n v="9"/>
    <n v="9"/>
  </r>
  <r>
    <x v="1028"/>
    <x v="1025"/>
    <n v="49991"/>
    <n v="1280"/>
    <x v="3"/>
    <n v="10"/>
    <x v="10"/>
    <n v="4"/>
    <n v="23"/>
    <x v="6"/>
    <x v="10"/>
    <n v="4748"/>
    <n v="4"/>
    <n v="9"/>
    <n v="9"/>
  </r>
  <r>
    <x v="1029"/>
    <x v="1026"/>
    <n v="36348"/>
    <n v="940"/>
    <x v="3"/>
    <n v="10"/>
    <x v="10"/>
    <n v="4"/>
    <n v="24"/>
    <x v="0"/>
    <x v="10"/>
    <n v="3784"/>
    <n v="4"/>
    <n v="9"/>
    <n v="9"/>
  </r>
  <r>
    <x v="1030"/>
    <x v="1027"/>
    <n v="63453"/>
    <n v="1650"/>
    <x v="3"/>
    <n v="10"/>
    <x v="10"/>
    <n v="4"/>
    <n v="25"/>
    <x v="1"/>
    <x v="10"/>
    <n v="6950"/>
    <n v="4"/>
    <n v="10"/>
    <n v="10"/>
  </r>
  <r>
    <x v="1031"/>
    <x v="1028"/>
    <n v="56101"/>
    <n v="1467"/>
    <x v="3"/>
    <n v="10"/>
    <x v="10"/>
    <n v="4"/>
    <n v="26"/>
    <x v="2"/>
    <x v="10"/>
    <n v="6401"/>
    <n v="4"/>
    <n v="10"/>
    <n v="10"/>
  </r>
  <r>
    <x v="1032"/>
    <x v="1029"/>
    <n v="48202"/>
    <n v="1257"/>
    <x v="3"/>
    <n v="10"/>
    <x v="10"/>
    <n v="4"/>
    <n v="27"/>
    <x v="3"/>
    <x v="10"/>
    <n v="5473"/>
    <n v="4"/>
    <n v="10"/>
    <n v="10"/>
  </r>
  <r>
    <x v="1033"/>
    <x v="1030"/>
    <n v="92658"/>
    <n v="2405"/>
    <x v="3"/>
    <n v="10"/>
    <x v="10"/>
    <n v="4"/>
    <n v="28"/>
    <x v="4"/>
    <x v="10"/>
    <n v="9949"/>
    <n v="4"/>
    <n v="10"/>
    <n v="10"/>
  </r>
  <r>
    <x v="1034"/>
    <x v="1031"/>
    <n v="113188"/>
    <n v="2929"/>
    <x v="3"/>
    <n v="10"/>
    <x v="10"/>
    <n v="4"/>
    <n v="29"/>
    <x v="5"/>
    <x v="10"/>
    <n v="11800"/>
    <n v="4"/>
    <n v="9"/>
    <n v="9"/>
  </r>
  <r>
    <x v="1035"/>
    <x v="1032"/>
    <n v="61234"/>
    <n v="1582"/>
    <x v="3"/>
    <n v="10"/>
    <x v="10"/>
    <n v="4"/>
    <n v="30"/>
    <x v="6"/>
    <x v="10"/>
    <n v="6287"/>
    <n v="4"/>
    <n v="9"/>
    <n v="9"/>
  </r>
  <r>
    <x v="1036"/>
    <x v="1033"/>
    <n v="62316"/>
    <n v="1639"/>
    <x v="3"/>
    <n v="10"/>
    <x v="10"/>
    <n v="4"/>
    <n v="31"/>
    <x v="0"/>
    <x v="10"/>
    <n v="7704"/>
    <n v="5"/>
    <n v="11"/>
    <n v="11"/>
  </r>
  <r>
    <x v="1037"/>
    <x v="1034"/>
    <n v="110699"/>
    <n v="2971"/>
    <x v="3"/>
    <n v="11"/>
    <x v="11"/>
    <n v="4"/>
    <n v="1"/>
    <x v="1"/>
    <x v="10"/>
    <n v="16255"/>
    <n v="5"/>
    <n v="13"/>
    <n v="13"/>
  </r>
  <r>
    <x v="1038"/>
    <x v="1035"/>
    <n v="86204"/>
    <n v="2284"/>
    <x v="3"/>
    <n v="11"/>
    <x v="11"/>
    <n v="4"/>
    <n v="2"/>
    <x v="2"/>
    <x v="10"/>
    <n v="11354"/>
    <n v="5"/>
    <n v="12"/>
    <n v="12"/>
  </r>
  <r>
    <x v="1039"/>
    <x v="1036"/>
    <n v="89413"/>
    <n v="2266"/>
    <x v="3"/>
    <n v="11"/>
    <x v="11"/>
    <n v="4"/>
    <n v="3"/>
    <x v="3"/>
    <x v="10"/>
    <n v="7626"/>
    <n v="3"/>
    <n v="8"/>
    <n v="8"/>
  </r>
  <r>
    <x v="1040"/>
    <x v="1037"/>
    <n v="156676"/>
    <n v="3938"/>
    <x v="3"/>
    <n v="11"/>
    <x v="11"/>
    <n v="4"/>
    <n v="4"/>
    <x v="4"/>
    <x v="10"/>
    <n v="11674"/>
    <n v="3"/>
    <n v="7"/>
    <n v="7"/>
  </r>
  <r>
    <x v="1041"/>
    <x v="1038"/>
    <n v="189395"/>
    <n v="4720"/>
    <x v="3"/>
    <n v="11"/>
    <x v="11"/>
    <n v="4"/>
    <n v="5"/>
    <x v="5"/>
    <x v="10"/>
    <n v="12623"/>
    <n v="3"/>
    <n v="6"/>
    <n v="6"/>
  </r>
  <r>
    <x v="1042"/>
    <x v="1039"/>
    <n v="102250"/>
    <n v="2537"/>
    <x v="3"/>
    <n v="11"/>
    <x v="11"/>
    <n v="4"/>
    <n v="6"/>
    <x v="6"/>
    <x v="10"/>
    <n v="6209"/>
    <n v="2"/>
    <n v="6"/>
    <n v="6"/>
  </r>
  <r>
    <x v="1043"/>
    <x v="1040"/>
    <n v="105978"/>
    <n v="2621"/>
    <x v="3"/>
    <n v="11"/>
    <x v="11"/>
    <n v="4"/>
    <n v="7"/>
    <x v="0"/>
    <x v="10"/>
    <n v="6558"/>
    <n v="3"/>
    <n v="6"/>
    <n v="6"/>
  </r>
  <r>
    <x v="1044"/>
    <x v="1041"/>
    <n v="94692"/>
    <n v="2341"/>
    <x v="3"/>
    <n v="11"/>
    <x v="11"/>
    <n v="4"/>
    <n v="8"/>
    <x v="1"/>
    <x v="10"/>
    <n v="5787"/>
    <n v="2"/>
    <n v="6"/>
    <n v="6"/>
  </r>
  <r>
    <x v="1045"/>
    <x v="1042"/>
    <n v="77082"/>
    <n v="1901"/>
    <x v="3"/>
    <n v="11"/>
    <x v="11"/>
    <n v="4"/>
    <n v="9"/>
    <x v="2"/>
    <x v="10"/>
    <n v="4568"/>
    <n v="2"/>
    <n v="6"/>
    <n v="6"/>
  </r>
  <r>
    <x v="1046"/>
    <x v="1043"/>
    <n v="67551"/>
    <n v="1666"/>
    <x v="3"/>
    <n v="11"/>
    <x v="11"/>
    <n v="4"/>
    <n v="10"/>
    <x v="3"/>
    <x v="10"/>
    <n v="3978"/>
    <n v="2"/>
    <n v="6"/>
    <n v="6"/>
  </r>
  <r>
    <x v="1047"/>
    <x v="1044"/>
    <n v="152555"/>
    <n v="3748"/>
    <x v="3"/>
    <n v="11"/>
    <x v="11"/>
    <n v="4"/>
    <n v="11"/>
    <x v="4"/>
    <x v="10"/>
    <n v="8383"/>
    <n v="2"/>
    <n v="5"/>
    <n v="5"/>
  </r>
  <r>
    <x v="1048"/>
    <x v="1045"/>
    <n v="156263"/>
    <n v="3843"/>
    <x v="3"/>
    <n v="11"/>
    <x v="11"/>
    <n v="4"/>
    <n v="12"/>
    <x v="5"/>
    <x v="10"/>
    <n v="8736"/>
    <n v="2"/>
    <n v="5"/>
    <n v="5"/>
  </r>
  <r>
    <x v="1049"/>
    <x v="1046"/>
    <n v="93113"/>
    <n v="2281"/>
    <x v="3"/>
    <n v="11"/>
    <x v="11"/>
    <n v="4"/>
    <n v="13"/>
    <x v="6"/>
    <x v="10"/>
    <n v="4834"/>
    <n v="2"/>
    <n v="5"/>
    <n v="5"/>
  </r>
  <r>
    <x v="1050"/>
    <x v="1047"/>
    <n v="83068"/>
    <n v="2046"/>
    <x v="3"/>
    <n v="11"/>
    <x v="11"/>
    <n v="4"/>
    <n v="14"/>
    <x v="0"/>
    <x v="10"/>
    <n v="4766"/>
    <n v="2"/>
    <n v="5"/>
    <n v="5"/>
  </r>
  <r>
    <x v="1051"/>
    <x v="1048"/>
    <n v="88104"/>
    <n v="2181"/>
    <x v="3"/>
    <n v="11"/>
    <x v="11"/>
    <n v="4"/>
    <n v="15"/>
    <x v="1"/>
    <x v="13"/>
    <n v="7405"/>
    <n v="3"/>
    <n v="8"/>
    <n v="8"/>
  </r>
  <r>
    <x v="1052"/>
    <x v="1049"/>
    <n v="71429"/>
    <n v="1763"/>
    <x v="3"/>
    <n v="11"/>
    <x v="11"/>
    <n v="4"/>
    <n v="16"/>
    <x v="2"/>
    <x v="13"/>
    <n v="5801"/>
    <n v="3"/>
    <n v="8"/>
    <n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EC3DC0-AED9-41F7-994D-873529DEC4F5}"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3:G4" firstHeaderRow="1" firstDataRow="1" firstDataCol="0"/>
  <pivotFields count="15">
    <pivotField numFmtId="164" showAll="0">
      <items count="10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dataField="1" showAll="0"/>
    <pivotField showAll="0"/>
    <pivotField showAll="0"/>
    <pivotField showAll="0">
      <items count="5">
        <item x="0"/>
        <item x="1"/>
        <item x="2"/>
        <item x="3"/>
        <item t="default"/>
      </items>
    </pivotField>
    <pivotField showAll="0"/>
    <pivotField showAll="0">
      <items count="13">
        <item x="1"/>
        <item x="2"/>
        <item x="3"/>
        <item x="4"/>
        <item x="5"/>
        <item x="6"/>
        <item x="7"/>
        <item x="8"/>
        <item x="9"/>
        <item x="10"/>
        <item x="11"/>
        <item x="0"/>
        <item t="default"/>
      </items>
    </pivotField>
    <pivotField showAll="0"/>
    <pivotField showAll="0"/>
    <pivotField showAll="0">
      <items count="8">
        <item x="6"/>
        <item x="0"/>
        <item x="1"/>
        <item x="2"/>
        <item x="3"/>
        <item x="4"/>
        <item x="5"/>
        <item t="default"/>
      </items>
    </pivotField>
    <pivotField showAll="0"/>
    <pivotField showAll="0"/>
    <pivotField showAll="0"/>
    <pivotField showAll="0"/>
    <pivotField showAll="0"/>
  </pivotFields>
  <rowItems count="1">
    <i/>
  </rowItems>
  <colItems count="1">
    <i/>
  </colItems>
  <dataFields count="1">
    <dataField name="Max of sales" fld="1" subtotal="max" baseField="0" baseItem="44" numFmtId="165"/>
  </dataFields>
  <formats count="3">
    <format dxfId="2">
      <pivotArea type="all" dataOnly="0" outline="0" fieldPosition="0"/>
    </format>
    <format dxfId="1">
      <pivotArea outline="0" collapsedLevelsAreSubtotals="1" fieldPosition="0"/>
    </format>
    <format dxfId="0">
      <pivotArea dataOnly="0" labelOnly="1" outline="0" axis="axisValues" fieldPosition="0"/>
    </format>
  </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FF8E5C-1EB5-497F-9413-C3A527BCF27B}"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7:B48" firstHeaderRow="1" firstDataRow="1" firstDataCol="1"/>
  <pivotFields count="15">
    <pivotField numFmtId="164" showAll="0">
      <items count="10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dataField="1" showAll="0"/>
    <pivotField showAll="0"/>
    <pivotField showAll="0"/>
    <pivotField axis="axisRow" showAll="0">
      <items count="5">
        <item x="0"/>
        <item x="1"/>
        <item x="2"/>
        <item x="3"/>
        <item t="default"/>
      </items>
    </pivotField>
    <pivotField showAll="0"/>
    <pivotField axis="axisRow" showAll="0">
      <items count="13">
        <item x="1"/>
        <item x="2"/>
        <item x="3"/>
        <item x="4"/>
        <item x="5"/>
        <item x="6"/>
        <item x="7"/>
        <item x="8"/>
        <item x="9"/>
        <item x="10"/>
        <item x="11"/>
        <item x="0"/>
        <item t="default"/>
      </items>
    </pivotField>
    <pivotField showAll="0"/>
    <pivotField showAll="0"/>
    <pivotField showAll="0">
      <items count="8">
        <item x="6"/>
        <item x="0"/>
        <item x="1"/>
        <item x="2"/>
        <item x="3"/>
        <item x="4"/>
        <item x="5"/>
        <item t="default"/>
      </items>
    </pivotField>
    <pivotField showAll="0"/>
    <pivotField showAll="0"/>
    <pivotField showAll="0"/>
    <pivotField showAll="0"/>
    <pivotField showAll="0"/>
  </pivotFields>
  <rowFields count="2">
    <field x="4"/>
    <field x="6"/>
  </rowFields>
  <rowItems count="41">
    <i>
      <x/>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t="grand">
      <x/>
    </i>
  </rowItems>
  <colItems count="1">
    <i/>
  </colItems>
  <dataFields count="1">
    <dataField name="Sum of sales" fld="1" baseField="0" baseItem="9"/>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483F83-2A86-49B6-90FD-E037448B5F27}"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51:B59" firstHeaderRow="1" firstDataRow="1" firstDataCol="1"/>
  <pivotFields count="15">
    <pivotField numFmtId="164" showAll="0">
      <items count="10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dataField="1" showAll="0"/>
    <pivotField showAll="0"/>
    <pivotField showAll="0"/>
    <pivotField showAll="0">
      <items count="5">
        <item x="0"/>
        <item x="1"/>
        <item x="2"/>
        <item x="3"/>
        <item t="default"/>
      </items>
    </pivotField>
    <pivotField showAll="0"/>
    <pivotField showAll="0">
      <items count="13">
        <item x="1"/>
        <item x="2"/>
        <item x="3"/>
        <item x="4"/>
        <item x="5"/>
        <item x="6"/>
        <item x="7"/>
        <item x="8"/>
        <item x="9"/>
        <item x="10"/>
        <item x="11"/>
        <item x="0"/>
        <item t="default"/>
      </items>
    </pivotField>
    <pivotField showAll="0"/>
    <pivotField showAll="0"/>
    <pivotField axis="axisRow" showAll="0">
      <items count="8">
        <item x="0"/>
        <item x="1"/>
        <item x="2"/>
        <item x="3"/>
        <item x="4"/>
        <item x="5"/>
        <item x="6"/>
        <item t="default"/>
      </items>
    </pivotField>
    <pivotField showAll="0"/>
    <pivotField showAll="0"/>
    <pivotField showAll="0"/>
    <pivotField showAll="0"/>
    <pivotField showAll="0"/>
  </pivotFields>
  <rowFields count="1">
    <field x="9"/>
  </rowFields>
  <rowItems count="8">
    <i>
      <x/>
    </i>
    <i>
      <x v="1"/>
    </i>
    <i>
      <x v="2"/>
    </i>
    <i>
      <x v="3"/>
    </i>
    <i>
      <x v="4"/>
    </i>
    <i>
      <x v="5"/>
    </i>
    <i>
      <x v="6"/>
    </i>
    <i t="grand">
      <x/>
    </i>
  </rowItems>
  <colItems count="1">
    <i/>
  </colItems>
  <dataFields count="1">
    <dataField name="Max of sales" fld="1" subtotal="max" baseField="0" baseItem="44"/>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7BE2289-91FC-4B16-B33F-7DBFADBE55F9}" name="PivotTable1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169:B210" firstHeaderRow="1" firstDataRow="1" firstDataCol="1"/>
  <pivotFields count="15">
    <pivotField numFmtId="164" showAll="0">
      <items count="10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showAll="0"/>
    <pivotField showAll="0"/>
    <pivotField showAll="0"/>
    <pivotField axis="axisRow" showAll="0">
      <items count="5">
        <item x="0"/>
        <item x="1"/>
        <item x="2"/>
        <item x="3"/>
        <item t="default"/>
      </items>
    </pivotField>
    <pivotField showAll="0"/>
    <pivotField axis="axisRow" showAll="0">
      <items count="13">
        <item x="1"/>
        <item x="2"/>
        <item x="3"/>
        <item x="4"/>
        <item x="5"/>
        <item x="6"/>
        <item x="7"/>
        <item x="8"/>
        <item x="9"/>
        <item x="10"/>
        <item x="11"/>
        <item x="0"/>
        <item t="default"/>
      </items>
    </pivotField>
    <pivotField showAll="0"/>
    <pivotField showAll="0"/>
    <pivotField showAll="0">
      <items count="8">
        <item x="0"/>
        <item x="1"/>
        <item x="2"/>
        <item x="3"/>
        <item x="4"/>
        <item x="5"/>
        <item x="6"/>
        <item t="default"/>
      </items>
    </pivotField>
    <pivotField showAll="0"/>
    <pivotField showAll="0"/>
    <pivotField showAll="0"/>
    <pivotField dataField="1" showAll="0"/>
    <pivotField showAll="0"/>
  </pivotFields>
  <rowFields count="2">
    <field x="4"/>
    <field x="6"/>
  </rowFields>
  <rowItems count="41">
    <i>
      <x/>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t="grand">
      <x/>
    </i>
  </rowItems>
  <colItems count="1">
    <i/>
  </colItems>
  <dataFields count="1">
    <dataField name="Sum of gross_profit_percentage" fld="13"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1383F20-1866-48E7-998D-220F656F71E4}"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15">
    <pivotField numFmtId="164" showAll="0">
      <items count="10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dataField="1" showAll="0"/>
    <pivotField showAll="0"/>
    <pivotField showAll="0"/>
    <pivotField showAll="0">
      <items count="5">
        <item x="0"/>
        <item x="1"/>
        <item x="2"/>
        <item x="3"/>
        <item t="default"/>
      </items>
    </pivotField>
    <pivotField showAll="0"/>
    <pivotField showAll="0">
      <items count="13">
        <item x="1"/>
        <item x="2"/>
        <item x="3"/>
        <item x="4"/>
        <item x="5"/>
        <item x="6"/>
        <item x="7"/>
        <item x="8"/>
        <item x="9"/>
        <item x="10"/>
        <item x="11"/>
        <item x="0"/>
        <item t="default"/>
      </items>
    </pivotField>
    <pivotField showAll="0"/>
    <pivotField showAll="0"/>
    <pivotField showAll="0">
      <items count="8">
        <item x="6"/>
        <item x="0"/>
        <item x="1"/>
        <item x="2"/>
        <item x="3"/>
        <item x="4"/>
        <item x="5"/>
        <item t="default"/>
      </items>
    </pivotField>
    <pivotField showAll="0"/>
    <pivotField showAll="0"/>
    <pivotField showAll="0"/>
    <pivotField showAll="0"/>
    <pivotField showAll="0"/>
  </pivotFields>
  <rowItems count="1">
    <i/>
  </rowItems>
  <colItems count="1">
    <i/>
  </colItems>
  <dataFields count="1">
    <dataField name="Sum of sales" fld="1" baseField="0" baseItem="0" numFmtId="165"/>
  </dataFields>
  <formats count="3">
    <format dxfId="5">
      <pivotArea type="all" dataOnly="0" outline="0" fieldPosition="0"/>
    </format>
    <format dxfId="4">
      <pivotArea outline="0" collapsedLevelsAreSubtotals="1" fieldPosition="0"/>
    </format>
    <format dxfId="3">
      <pivotArea dataOnly="0" labelOnly="1" outline="0" axis="axisValues" fieldPosition="0"/>
    </format>
  </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3E5C23A-C057-4043-8FFD-47419E0D3C5E}"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3:C4" firstHeaderRow="1" firstDataRow="1" firstDataCol="0"/>
  <pivotFields count="15">
    <pivotField numFmtId="164" showAll="0">
      <items count="10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showAll="0"/>
    <pivotField showAll="0"/>
    <pivotField dataField="1" showAll="0"/>
    <pivotField showAll="0">
      <items count="5">
        <item x="0"/>
        <item x="1"/>
        <item x="2"/>
        <item x="3"/>
        <item t="default"/>
      </items>
    </pivotField>
    <pivotField showAll="0"/>
    <pivotField showAll="0">
      <items count="13">
        <item x="1"/>
        <item x="2"/>
        <item x="3"/>
        <item x="4"/>
        <item x="5"/>
        <item x="6"/>
        <item x="7"/>
        <item x="8"/>
        <item x="9"/>
        <item x="10"/>
        <item x="11"/>
        <item x="0"/>
        <item t="default"/>
      </items>
    </pivotField>
    <pivotField showAll="0"/>
    <pivotField showAll="0"/>
    <pivotField showAll="0">
      <items count="8">
        <item x="6"/>
        <item x="0"/>
        <item x="1"/>
        <item x="2"/>
        <item x="3"/>
        <item x="4"/>
        <item x="5"/>
        <item t="default"/>
      </items>
    </pivotField>
    <pivotField showAll="0"/>
    <pivotField showAll="0"/>
    <pivotField showAll="0"/>
    <pivotField showAll="0"/>
    <pivotField showAll="0"/>
  </pivotFields>
  <rowItems count="1">
    <i/>
  </rowItems>
  <colItems count="1">
    <i/>
  </colItems>
  <dataFields count="1">
    <dataField name="Sum of quantity_sold" fld="3" baseField="0"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B109102-55EF-4224-90FF-C13428226300}"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78:B119" firstHeaderRow="1" firstDataRow="1" firstDataCol="1"/>
  <pivotFields count="15">
    <pivotField numFmtId="164" showAll="0">
      <items count="10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showAll="0"/>
    <pivotField showAll="0"/>
    <pivotField showAll="0"/>
    <pivotField axis="axisRow" showAll="0">
      <items count="5">
        <item x="0"/>
        <item x="1"/>
        <item x="2"/>
        <item x="3"/>
        <item t="default"/>
      </items>
    </pivotField>
    <pivotField showAll="0"/>
    <pivotField axis="axisRow" showAll="0">
      <items count="13">
        <item x="1"/>
        <item x="2"/>
        <item x="3"/>
        <item x="4"/>
        <item x="5"/>
        <item x="6"/>
        <item x="7"/>
        <item x="8"/>
        <item x="9"/>
        <item x="10"/>
        <item x="11"/>
        <item x="0"/>
        <item t="default"/>
      </items>
    </pivotField>
    <pivotField showAll="0"/>
    <pivotField showAll="0"/>
    <pivotField showAll="0">
      <items count="8">
        <item x="0"/>
        <item x="1"/>
        <item x="2"/>
        <item x="3"/>
        <item x="4"/>
        <item x="5"/>
        <item x="6"/>
        <item t="default"/>
      </items>
    </pivotField>
    <pivotField dataField="1" showAll="0">
      <items count="15">
        <item x="3"/>
        <item x="1"/>
        <item x="0"/>
        <item x="2"/>
        <item x="4"/>
        <item x="5"/>
        <item x="6"/>
        <item x="8"/>
        <item x="7"/>
        <item x="12"/>
        <item x="11"/>
        <item x="9"/>
        <item x="10"/>
        <item x="13"/>
        <item t="default"/>
      </items>
    </pivotField>
    <pivotField showAll="0"/>
    <pivotField showAll="0"/>
    <pivotField showAll="0"/>
    <pivotField showAll="0"/>
  </pivotFields>
  <rowFields count="2">
    <field x="4"/>
    <field x="6"/>
  </rowFields>
  <rowItems count="41">
    <i>
      <x/>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t="grand">
      <x/>
    </i>
  </rowItems>
  <colItems count="1">
    <i/>
  </colItems>
  <dataFields count="1">
    <dataField name="Average of sales_price_per_unit" fld="10" subtotal="average" baseField="6" baseItem="0"/>
  </dataFields>
  <chartFormats count="2">
    <chartFormat chart="3" format="1"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E9C4791-5AEE-4A87-BF15-0CB9BCD7A8EB}"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3:E4" firstHeaderRow="1" firstDataRow="1" firstDataCol="0"/>
  <pivotFields count="15">
    <pivotField numFmtId="164" showAll="0">
      <items count="10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showAll="0"/>
    <pivotField showAll="0"/>
    <pivotField showAll="0"/>
    <pivotField showAll="0">
      <items count="5">
        <item x="0"/>
        <item x="1"/>
        <item x="2"/>
        <item x="3"/>
        <item t="default"/>
      </items>
    </pivotField>
    <pivotField showAll="0"/>
    <pivotField showAll="0">
      <items count="13">
        <item x="1"/>
        <item x="2"/>
        <item x="3"/>
        <item x="4"/>
        <item x="5"/>
        <item x="6"/>
        <item x="7"/>
        <item x="8"/>
        <item x="9"/>
        <item x="10"/>
        <item x="11"/>
        <item x="0"/>
        <item t="default"/>
      </items>
    </pivotField>
    <pivotField showAll="0"/>
    <pivotField showAll="0"/>
    <pivotField showAll="0">
      <items count="8">
        <item x="6"/>
        <item x="0"/>
        <item x="1"/>
        <item x="2"/>
        <item x="3"/>
        <item x="4"/>
        <item x="5"/>
        <item t="default"/>
      </items>
    </pivotField>
    <pivotField dataField="1" showAll="0"/>
    <pivotField showAll="0"/>
    <pivotField showAll="0"/>
    <pivotField showAll="0"/>
    <pivotField showAll="0"/>
  </pivotFields>
  <rowItems count="1">
    <i/>
  </rowItems>
  <colItems count="1">
    <i/>
  </colItems>
  <dataFields count="1">
    <dataField name="Average of sales_price_per_unit" fld="10" subtotal="average" baseField="0" baseItem="9" numFmtId="165"/>
  </dataFields>
  <formats count="3">
    <format dxfId="8">
      <pivotArea type="all" dataOnly="0" outline="0" fieldPosition="0"/>
    </format>
    <format dxfId="7">
      <pivotArea outline="0" collapsedLevelsAreSubtotals="1" fieldPosition="0"/>
    </format>
    <format dxfId="6">
      <pivotArea dataOnly="0" labelOnly="1" outline="0" axis="axisValues" fieldPosition="0"/>
    </format>
  </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A8A65D6-8DDD-44B8-AC2C-BEB96BB6FA41}" name="PivotTable2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J9:J10" firstHeaderRow="1" firstDataRow="1" firstDataCol="0"/>
  <pivotFields count="15">
    <pivotField numFmtId="164" showAll="0">
      <items count="10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dataField="1" showAll="0"/>
    <pivotField showAll="0"/>
    <pivotField showAll="0"/>
    <pivotField showAll="0">
      <items count="5">
        <item x="0"/>
        <item x="1"/>
        <item x="2"/>
        <item x="3"/>
        <item t="default"/>
      </items>
    </pivotField>
    <pivotField showAll="0"/>
    <pivotField showAll="0">
      <items count="13">
        <item x="1"/>
        <item x="2"/>
        <item x="3"/>
        <item x="4"/>
        <item x="5"/>
        <item x="6"/>
        <item x="7"/>
        <item x="8"/>
        <item x="9"/>
        <item x="10"/>
        <item x="11"/>
        <item x="0"/>
        <item t="default"/>
      </items>
    </pivotField>
    <pivotField showAll="0"/>
    <pivotField showAll="0"/>
    <pivotField showAll="0">
      <items count="8">
        <item x="6"/>
        <item x="0"/>
        <item x="1"/>
        <item x="2"/>
        <item x="3"/>
        <item x="4"/>
        <item x="5"/>
        <item t="default"/>
      </items>
    </pivotField>
    <pivotField showAll="0"/>
    <pivotField showAll="0"/>
    <pivotField showAll="0"/>
    <pivotField showAll="0"/>
    <pivotField showAll="0"/>
  </pivotFields>
  <rowItems count="1">
    <i/>
  </rowItems>
  <colItems count="1">
    <i/>
  </colItems>
  <dataFields count="1">
    <dataField name="Sum of sales" fld="1" baseField="0" baseItem="0" numFmtId="165"/>
  </dataFields>
  <formats count="3">
    <format dxfId="11">
      <pivotArea type="all" dataOnly="0" outline="0" fieldPosition="0"/>
    </format>
    <format dxfId="10">
      <pivotArea outline="0" collapsedLevelsAreSubtotals="1" fieldPosition="0"/>
    </format>
    <format dxfId="9">
      <pivotArea dataOnly="0" labelOnly="1" outline="0" axis="axisValues" fieldPosition="0"/>
    </format>
  </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CF1DF6E-AB27-4654-A00E-159E3A667C42}"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K3:K4" firstHeaderRow="1" firstDataRow="1" firstDataCol="0"/>
  <pivotFields count="15">
    <pivotField numFmtId="164" showAll="0">
      <items count="10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showAll="0">
      <items count="1051">
        <item x="987"/>
        <item x="1015"/>
        <item x="597"/>
        <item x="598"/>
        <item x="329"/>
        <item x="863"/>
        <item x="626"/>
        <item x="949"/>
        <item x="625"/>
        <item x="331"/>
        <item x="926"/>
        <item x="986"/>
        <item x="951"/>
        <item x="1014"/>
        <item x="328"/>
        <item x="622"/>
        <item x="925"/>
        <item x="807"/>
        <item x="869"/>
        <item x="862"/>
        <item x="596"/>
        <item x="932"/>
        <item x="1013"/>
        <item x="176"/>
        <item x="924"/>
        <item x="803"/>
        <item x="800"/>
        <item x="1021"/>
        <item x="950"/>
        <item x="332"/>
        <item x="931"/>
        <item x="993"/>
        <item x="799"/>
        <item x="1022"/>
        <item x="868"/>
        <item x="870"/>
        <item x="591"/>
        <item x="922"/>
        <item x="904"/>
        <item x="1026"/>
        <item x="652"/>
        <item x="330"/>
        <item x="988"/>
        <item x="470"/>
        <item x="935"/>
        <item x="1020"/>
        <item x="629"/>
        <item x="995"/>
        <item x="806"/>
        <item x="659"/>
        <item x="653"/>
        <item x="861"/>
        <item x="867"/>
        <item x="936"/>
        <item x="444"/>
        <item x="981"/>
        <item x="965"/>
        <item x="937"/>
        <item x="630"/>
        <item x="569"/>
        <item x="590"/>
        <item x="804"/>
        <item x="929"/>
        <item x="923"/>
        <item x="402"/>
        <item x="946"/>
        <item x="992"/>
        <item x="631"/>
        <item x="333"/>
        <item x="327"/>
        <item x="437"/>
        <item x="811"/>
        <item x="361"/>
        <item x="619"/>
        <item x="945"/>
        <item x="324"/>
        <item x="443"/>
        <item x="984"/>
        <item x="317"/>
        <item x="195"/>
        <item x="991"/>
        <item x="472"/>
        <item x="994"/>
        <item x="29"/>
        <item x="442"/>
        <item x="980"/>
        <item x="1012"/>
        <item x="624"/>
        <item x="325"/>
        <item x="561"/>
        <item x="866"/>
        <item x="930"/>
        <item x="1011"/>
        <item x="939"/>
        <item x="985"/>
        <item x="623"/>
        <item x="576"/>
        <item x="654"/>
        <item x="1029"/>
        <item x="660"/>
        <item x="326"/>
        <item x="784"/>
        <item x="1025"/>
        <item x="827"/>
        <item x="810"/>
        <item x="339"/>
        <item x="318"/>
        <item x="577"/>
        <item x="658"/>
        <item x="805"/>
        <item x="50"/>
        <item x="178"/>
        <item x="661"/>
        <item x="177"/>
        <item x="316"/>
        <item x="204"/>
        <item x="477"/>
        <item x="601"/>
        <item x="575"/>
        <item x="1002"/>
        <item x="436"/>
        <item x="1019"/>
        <item x="476"/>
        <item x="1018"/>
        <item x="395"/>
        <item x="621"/>
        <item x="650"/>
        <item x="559"/>
        <item x="651"/>
        <item x="23"/>
        <item x="471"/>
        <item x="817"/>
        <item x="1001"/>
        <item x="1000"/>
        <item x="602"/>
        <item x="942"/>
        <item x="380"/>
        <item x="647"/>
        <item x="657"/>
        <item x="394"/>
        <item x="589"/>
        <item x="479"/>
        <item x="798"/>
        <item x="286"/>
        <item x="933"/>
        <item x="873"/>
        <item x="744"/>
        <item x="181"/>
        <item x="435"/>
        <item x="1028"/>
        <item x="323"/>
        <item x="475"/>
        <item x="387"/>
        <item x="560"/>
        <item x="646"/>
        <item x="24"/>
        <item x="772"/>
        <item x="820"/>
        <item x="595"/>
        <item x="31"/>
        <item x="379"/>
        <item x="540"/>
        <item x="943"/>
        <item x="812"/>
        <item x="860"/>
        <item x="388"/>
        <item x="570"/>
        <item x="447"/>
        <item x="751"/>
        <item x="440"/>
        <item x="999"/>
        <item x="30"/>
        <item x="1032"/>
        <item x="743"/>
        <item x="938"/>
        <item x="627"/>
        <item x="189"/>
        <item x="528"/>
        <item x="628"/>
        <item x="363"/>
        <item x="874"/>
        <item x="262"/>
        <item x="1016"/>
        <item x="726"/>
        <item x="288"/>
        <item x="919"/>
        <item x="377"/>
        <item x="779"/>
        <item x="304"/>
        <item x="989"/>
        <item x="567"/>
        <item x="588"/>
        <item x="1033"/>
        <item x="188"/>
        <item x="83"/>
        <item x="1008"/>
        <item x="617"/>
        <item x="1027"/>
        <item x="889"/>
        <item x="282"/>
        <item x="749"/>
        <item x="944"/>
        <item x="556"/>
        <item x="255"/>
        <item x="594"/>
        <item x="527"/>
        <item x="948"/>
        <item x="1043"/>
        <item x="338"/>
        <item x="563"/>
        <item x="568"/>
        <item x="28"/>
        <item x="998"/>
        <item x="310"/>
        <item x="405"/>
        <item x="947"/>
        <item x="261"/>
        <item x="314"/>
        <item x="796"/>
        <item x="20"/>
        <item x="584"/>
        <item x="737"/>
        <item x="465"/>
        <item x="384"/>
        <item x="196"/>
        <item x="344"/>
        <item x="583"/>
        <item x="587"/>
        <item x="265"/>
        <item x="321"/>
        <item x="618"/>
        <item x="315"/>
        <item x="771"/>
        <item x="599"/>
        <item x="374"/>
        <item x="526"/>
        <item x="393"/>
        <item x="934"/>
        <item x="1049"/>
        <item x="982"/>
        <item x="777"/>
        <item x="566"/>
        <item x="582"/>
        <item x="340"/>
        <item x="801"/>
        <item x="391"/>
        <item x="281"/>
        <item x="808"/>
        <item x="921"/>
        <item x="254"/>
        <item x="535"/>
        <item x="1007"/>
        <item x="52"/>
        <item x="381"/>
        <item x="468"/>
        <item x="693"/>
        <item x="802"/>
        <item x="864"/>
        <item x="15"/>
        <item x="562"/>
        <item x="927"/>
        <item x="441"/>
        <item x="219"/>
        <item x="199"/>
        <item x="581"/>
        <item x="448"/>
        <item x="84"/>
        <item x="785"/>
        <item x="1042"/>
        <item x="573"/>
        <item x="191"/>
        <item x="826"/>
        <item x="303"/>
        <item x="865"/>
        <item x="401"/>
        <item x="725"/>
        <item x="27"/>
        <item x="469"/>
        <item x="373"/>
        <item x="260"/>
        <item x="21"/>
        <item x="531"/>
        <item x="555"/>
        <item x="770"/>
        <item x="507"/>
        <item x="378"/>
        <item x="819"/>
        <item x="813"/>
        <item x="17"/>
        <item x="983"/>
        <item x="202"/>
        <item x="783"/>
        <item x="818"/>
        <item x="403"/>
        <item x="592"/>
        <item x="620"/>
        <item x="539"/>
        <item x="322"/>
        <item x="258"/>
        <item x="420"/>
        <item x="203"/>
        <item x="2"/>
        <item x="287"/>
        <item x="574"/>
        <item x="311"/>
        <item x="920"/>
        <item x="1009"/>
        <item x="1047"/>
        <item x="775"/>
        <item x="580"/>
        <item x="337"/>
        <item x="334"/>
        <item x="534"/>
        <item x="538"/>
        <item x="302"/>
        <item x="22"/>
        <item x="343"/>
        <item x="385"/>
        <item x="707"/>
        <item x="293"/>
        <item x="824"/>
        <item x="740"/>
        <item x="266"/>
        <item x="797"/>
        <item x="128"/>
        <item x="392"/>
        <item x="1010"/>
        <item x="1017"/>
        <item x="79"/>
        <item x="747"/>
        <item x="809"/>
        <item x="125"/>
        <item x="185"/>
        <item x="940"/>
        <item x="182"/>
        <item x="679"/>
        <item x="78"/>
        <item x="290"/>
        <item x="928"/>
        <item x="941"/>
        <item x="13"/>
        <item x="421"/>
        <item x="1048"/>
        <item x="206"/>
        <item x="1023"/>
        <item x="129"/>
        <item x="1006"/>
        <item x="871"/>
        <item x="445"/>
        <item x="748"/>
        <item x="782"/>
        <item x="1036"/>
        <item x="297"/>
        <item x="1035"/>
        <item x="386"/>
        <item x="406"/>
        <item x="1046"/>
        <item x="186"/>
        <item x="115"/>
        <item x="736"/>
        <item x="16"/>
        <item x="296"/>
        <item x="309"/>
        <item x="194"/>
        <item x="872"/>
        <item x="742"/>
        <item x="953"/>
        <item x="990"/>
        <item x="533"/>
        <item x="1041"/>
        <item x="464"/>
        <item x="335"/>
        <item x="294"/>
        <item x="9"/>
        <item x="400"/>
        <item x="600"/>
        <item x="38"/>
        <item x="1030"/>
        <item x="220"/>
        <item x="283"/>
        <item x="295"/>
        <item x="473"/>
        <item x="192"/>
        <item x="342"/>
        <item x="831"/>
        <item x="184"/>
        <item x="336"/>
        <item x="1024"/>
        <item x="404"/>
        <item x="51"/>
        <item x="738"/>
        <item x="541"/>
        <item x="896"/>
        <item x="10"/>
        <item x="190"/>
        <item x="1039"/>
        <item x="114"/>
        <item x="525"/>
        <item x="267"/>
        <item x="362"/>
        <item x="197"/>
        <item x="655"/>
        <item x="126"/>
        <item x="694"/>
        <item x="656"/>
        <item x="731"/>
        <item x="675"/>
        <item x="960"/>
        <item x="367"/>
        <item x="1040"/>
        <item x="875"/>
        <item x="34"/>
        <item x="171"/>
        <item x="466"/>
        <item x="111"/>
        <item x="958"/>
        <item x="14"/>
        <item x="143"/>
        <item x="25"/>
        <item x="666"/>
        <item x="493"/>
        <item x="593"/>
        <item x="438"/>
        <item x="187"/>
        <item x="708"/>
        <item x="434"/>
        <item x="1004"/>
        <item x="664"/>
        <item x="99"/>
        <item x="668"/>
        <item x="97"/>
        <item x="564"/>
        <item x="127"/>
        <item x="87"/>
        <item x="649"/>
        <item x="259"/>
        <item x="585"/>
        <item x="966"/>
        <item x="376"/>
        <item x="291"/>
        <item x="446"/>
        <item x="741"/>
        <item x="433"/>
        <item x="959"/>
        <item x="253"/>
        <item x="956"/>
        <item x="833"/>
        <item x="903"/>
        <item x="665"/>
        <item x="776"/>
        <item x="375"/>
        <item x="119"/>
        <item x="834"/>
        <item x="200"/>
        <item x="100"/>
        <item x="118"/>
        <item x="1031"/>
        <item x="449"/>
        <item x="632"/>
        <item x="86"/>
        <item x="571"/>
        <item x="557"/>
        <item x="467"/>
        <item x="648"/>
        <item x="840"/>
        <item x="1034"/>
        <item x="964"/>
        <item x="300"/>
        <item x="565"/>
        <item x="793"/>
        <item x="895"/>
        <item x="36"/>
        <item x="85"/>
        <item x="289"/>
        <item x="821"/>
        <item x="832"/>
        <item x="680"/>
        <item x="124"/>
        <item x="825"/>
        <item x="179"/>
        <item x="120"/>
        <item x="586"/>
        <item x="98"/>
        <item x="478"/>
        <item x="474"/>
        <item x="727"/>
        <item x="56"/>
        <item x="710"/>
        <item x="364"/>
        <item x="724"/>
        <item x="48"/>
        <item x="972"/>
        <item x="193"/>
        <item x="678"/>
        <item x="901"/>
        <item x="396"/>
        <item x="739"/>
        <item x="174"/>
        <item x="789"/>
        <item x="41"/>
        <item x="18"/>
        <item x="43"/>
        <item x="461"/>
        <item x="554"/>
        <item x="94"/>
        <item x="419"/>
        <item x="963"/>
        <item x="263"/>
        <item x="360"/>
        <item x="32"/>
        <item x="505"/>
        <item x="285"/>
        <item x="45"/>
        <item x="175"/>
        <item x="894"/>
        <item x="55"/>
        <item x="409"/>
        <item x="572"/>
        <item x="407"/>
        <item x="891"/>
        <item x="859"/>
        <item x="414"/>
        <item x="312"/>
        <item x="682"/>
        <item x="709"/>
        <item x="536"/>
        <item x="794"/>
        <item x="558"/>
        <item x="1005"/>
        <item x="638"/>
        <item x="35"/>
        <item x="905"/>
        <item x="902"/>
        <item x="416"/>
        <item x="11"/>
        <item x="578"/>
        <item x="301"/>
        <item x="689"/>
        <item x="430"/>
        <item x="134"/>
        <item x="180"/>
        <item x="12"/>
        <item x="952"/>
        <item x="688"/>
        <item x="996"/>
        <item x="42"/>
        <item x="681"/>
        <item x="307"/>
        <item x="256"/>
        <item x="773"/>
        <item x="352"/>
        <item x="754"/>
        <item x="500"/>
        <item x="382"/>
        <item x="532"/>
        <item x="319"/>
        <item x="19"/>
        <item x="745"/>
        <item x="633"/>
        <item x="341"/>
        <item x="439"/>
        <item x="49"/>
        <item x="839"/>
        <item x="997"/>
        <item x="399"/>
        <item x="795"/>
        <item x="687"/>
        <item x="692"/>
        <item x="264"/>
        <item x="970"/>
        <item x="979"/>
        <item x="389"/>
        <item x="121"/>
        <item x="529"/>
        <item x="26"/>
        <item x="719"/>
        <item x="828"/>
        <item x="93"/>
        <item x="1003"/>
        <item x="198"/>
        <item x="552"/>
        <item x="423"/>
        <item x="346"/>
        <item x="390"/>
        <item x="778"/>
        <item x="667"/>
        <item x="750"/>
        <item x="971"/>
        <item x="232"/>
        <item x="313"/>
        <item x="1044"/>
        <item x="786"/>
        <item x="415"/>
        <item x="112"/>
        <item x="728"/>
        <item x="780"/>
        <item x="345"/>
        <item x="408"/>
        <item x="835"/>
        <item x="957"/>
        <item x="890"/>
        <item x="816"/>
        <item x="790"/>
        <item x="636"/>
        <item x="44"/>
        <item x="123"/>
        <item x="90"/>
        <item x="234"/>
        <item x="733"/>
        <item x="73"/>
        <item x="615"/>
        <item x="838"/>
        <item x="1045"/>
        <item x="546"/>
        <item x="205"/>
        <item x="351"/>
        <item x="506"/>
        <item x="104"/>
        <item x="841"/>
        <item x="499"/>
        <item x="139"/>
        <item x="496"/>
        <item x="305"/>
        <item x="842"/>
        <item x="66"/>
        <item x="1037"/>
        <item x="140"/>
        <item x="685"/>
        <item x="537"/>
        <item x="292"/>
        <item x="510"/>
        <item x="383"/>
        <item x="792"/>
        <item x="398"/>
        <item x="233"/>
        <item x="257"/>
        <item x="774"/>
        <item x="881"/>
        <item x="82"/>
        <item x="579"/>
        <item x="356"/>
        <item x="553"/>
        <item x="163"/>
        <item x="768"/>
        <item x="463"/>
        <item x="503"/>
        <item x="686"/>
        <item x="349"/>
        <item x="888"/>
        <item x="227"/>
        <item x="141"/>
        <item x="370"/>
        <item x="616"/>
        <item x="6"/>
        <item x="101"/>
        <item x="524"/>
        <item x="284"/>
        <item x="183"/>
        <item x="122"/>
        <item x="80"/>
        <item x="320"/>
        <item x="791"/>
        <item x="33"/>
        <item x="372"/>
        <item x="462"/>
        <item x="113"/>
        <item x="133"/>
        <item x="542"/>
        <item x="170"/>
        <item x="157"/>
        <item x="530"/>
        <item x="713"/>
        <item x="168"/>
        <item x="545"/>
        <item x="662"/>
        <item x="845"/>
        <item x="71"/>
        <item x="37"/>
        <item x="162"/>
        <item x="787"/>
        <item x="225"/>
        <item x="95"/>
        <item x="484"/>
        <item x="91"/>
        <item x="637"/>
        <item x="746"/>
        <item x="72"/>
        <item x="673"/>
        <item x="498"/>
        <item x="105"/>
        <item x="160"/>
        <item x="483"/>
        <item x="142"/>
        <item x="706"/>
        <item x="758"/>
        <item x="823"/>
        <item x="223"/>
        <item x="504"/>
        <item x="226"/>
        <item x="765"/>
        <item x="212"/>
        <item x="422"/>
        <item x="497"/>
        <item x="485"/>
        <item x="512"/>
        <item x="3"/>
        <item x="397"/>
        <item x="164"/>
        <item x="482"/>
        <item x="132"/>
        <item x="910"/>
        <item x="81"/>
        <item x="703"/>
        <item x="135"/>
        <item x="521"/>
        <item x="674"/>
        <item x="898"/>
        <item x="1038"/>
        <item x="608"/>
        <item x="353"/>
        <item x="643"/>
        <item x="172"/>
        <item x="173"/>
        <item x="412"/>
        <item x="918"/>
        <item x="880"/>
        <item x="357"/>
        <item x="756"/>
        <item x="308"/>
        <item x="887"/>
        <item x="150"/>
        <item x="769"/>
        <item x="729"/>
        <item x="977"/>
        <item x="268"/>
        <item x="877"/>
        <item x="954"/>
        <item x="146"/>
        <item x="911"/>
        <item x="211"/>
        <item x="547"/>
        <item x="169"/>
        <item x="716"/>
        <item x="161"/>
        <item x="237"/>
        <item x="757"/>
        <item x="676"/>
        <item x="755"/>
        <item x="455"/>
        <item x="735"/>
        <item x="788"/>
        <item x="365"/>
        <item x="96"/>
        <item x="603"/>
        <item x="514"/>
        <item x="761"/>
        <item x="147"/>
        <item x="917"/>
        <item x="714"/>
        <item x="371"/>
        <item x="413"/>
        <item x="908"/>
        <item x="645"/>
        <item x="0"/>
        <item x="8"/>
        <item x="897"/>
        <item x="454"/>
        <item x="167"/>
        <item x="69"/>
        <item x="492"/>
        <item x="57"/>
        <item x="58"/>
        <item x="148"/>
        <item x="967"/>
        <item x="76"/>
        <item x="815"/>
        <item x="978"/>
        <item x="605"/>
        <item x="451"/>
        <item x="711"/>
        <item x="961"/>
        <item x="224"/>
        <item x="822"/>
        <item x="251"/>
        <item x="715"/>
        <item x="427"/>
        <item x="973"/>
        <item x="856"/>
        <item x="699"/>
        <item x="230"/>
        <item x="491"/>
        <item x="915"/>
        <item x="201"/>
        <item x="239"/>
        <item x="695"/>
        <item x="513"/>
        <item x="77"/>
        <item x="149"/>
        <item x="252"/>
        <item x="92"/>
        <item x="369"/>
        <item x="306"/>
        <item x="702"/>
        <item x="298"/>
        <item x="428"/>
        <item x="106"/>
        <item x="962"/>
        <item x="549"/>
        <item x="846"/>
        <item x="892"/>
        <item x="663"/>
        <item x="450"/>
        <item x="876"/>
        <item x="909"/>
        <item x="231"/>
        <item x="65"/>
        <item x="511"/>
        <item x="426"/>
        <item x="849"/>
        <item x="241"/>
        <item x="429"/>
        <item x="882"/>
        <item x="489"/>
        <item x="700"/>
        <item x="218"/>
        <item x="701"/>
        <item x="732"/>
        <item x="814"/>
        <item x="829"/>
        <item x="764"/>
        <item x="273"/>
        <item x="517"/>
        <item x="955"/>
        <item x="209"/>
        <item x="752"/>
        <item x="418"/>
        <item x="722"/>
        <item x="550"/>
        <item x="431"/>
        <item x="672"/>
        <item x="520"/>
        <item x="136"/>
        <item x="368"/>
        <item x="612"/>
        <item x="830"/>
        <item x="717"/>
        <item x="354"/>
        <item x="240"/>
        <item x="671"/>
        <item x="734"/>
        <item x="604"/>
        <item x="88"/>
        <item x="884"/>
        <item x="763"/>
        <item x="347"/>
        <item x="279"/>
        <item x="677"/>
        <item x="847"/>
        <item x="916"/>
        <item x="350"/>
        <item x="912"/>
        <item x="853"/>
        <item x="272"/>
        <item x="117"/>
        <item x="669"/>
        <item x="855"/>
        <item x="70"/>
        <item x="156"/>
        <item x="158"/>
        <item x="720"/>
        <item x="210"/>
        <item x="417"/>
        <item x="522"/>
        <item x="893"/>
        <item x="107"/>
        <item x="644"/>
        <item x="213"/>
        <item x="116"/>
        <item x="854"/>
        <item x="1"/>
        <item x="690"/>
        <item x="39"/>
        <item x="299"/>
        <item x="130"/>
        <item x="548"/>
        <item x="7"/>
        <item x="432"/>
        <item x="5"/>
        <item x="216"/>
        <item x="424"/>
        <item x="900"/>
        <item x="54"/>
        <item x="691"/>
        <item x="64"/>
        <item x="696"/>
        <item x="248"/>
        <item x="721"/>
        <item x="848"/>
        <item x="974"/>
        <item x="753"/>
        <item x="40"/>
        <item x="355"/>
        <item x="551"/>
        <item x="358"/>
        <item x="238"/>
        <item x="704"/>
        <item x="53"/>
        <item x="102"/>
        <item x="543"/>
        <item x="490"/>
        <item x="508"/>
        <item x="639"/>
        <item x="781"/>
        <item x="730"/>
        <item x="766"/>
        <item x="4"/>
        <item x="837"/>
        <item x="155"/>
        <item x="899"/>
        <item x="494"/>
        <item x="609"/>
        <item x="712"/>
        <item x="519"/>
        <item x="46"/>
        <item x="718"/>
        <item x="968"/>
        <item x="762"/>
        <item x="613"/>
        <item x="857"/>
        <item x="480"/>
        <item x="59"/>
        <item x="611"/>
        <item x="523"/>
        <item x="425"/>
        <item x="843"/>
        <item x="635"/>
        <item x="836"/>
        <item x="452"/>
        <item x="852"/>
        <item x="969"/>
        <item x="456"/>
        <item x="89"/>
        <item x="274"/>
        <item x="244"/>
        <item x="683"/>
        <item x="269"/>
        <item x="410"/>
        <item x="110"/>
        <item x="217"/>
        <item x="878"/>
        <item x="614"/>
        <item x="366"/>
        <item x="47"/>
        <item x="634"/>
        <item x="883"/>
        <item x="976"/>
        <item x="544"/>
        <item x="348"/>
        <item x="975"/>
        <item x="767"/>
        <item x="885"/>
        <item x="103"/>
        <item x="280"/>
        <item x="697"/>
        <item x="235"/>
        <item x="684"/>
        <item x="705"/>
        <item x="501"/>
        <item x="610"/>
        <item x="486"/>
        <item x="606"/>
        <item x="858"/>
        <item x="906"/>
        <item x="495"/>
        <item x="670"/>
        <item x="159"/>
        <item x="723"/>
        <item x="641"/>
        <item x="74"/>
        <item x="879"/>
        <item x="759"/>
        <item x="460"/>
        <item x="886"/>
        <item x="640"/>
        <item x="222"/>
        <item x="502"/>
        <item x="137"/>
        <item x="509"/>
        <item x="844"/>
        <item x="411"/>
        <item x="154"/>
        <item x="144"/>
        <item x="131"/>
        <item x="698"/>
        <item x="221"/>
        <item x="518"/>
        <item x="642"/>
        <item x="236"/>
        <item x="914"/>
        <item x="850"/>
        <item x="153"/>
        <item x="453"/>
        <item x="607"/>
        <item x="907"/>
        <item x="488"/>
        <item x="247"/>
        <item x="109"/>
        <item x="67"/>
        <item x="165"/>
        <item x="246"/>
        <item x="276"/>
        <item x="515"/>
        <item x="228"/>
        <item x="166"/>
        <item x="62"/>
        <item x="913"/>
        <item x="359"/>
        <item x="481"/>
        <item x="138"/>
        <item x="457"/>
        <item x="487"/>
        <item x="249"/>
        <item x="151"/>
        <item x="459"/>
        <item x="760"/>
        <item x="207"/>
        <item x="75"/>
        <item x="277"/>
        <item x="68"/>
        <item x="63"/>
        <item x="229"/>
        <item x="516"/>
        <item x="250"/>
        <item x="851"/>
        <item x="208"/>
        <item x="270"/>
        <item x="145"/>
        <item x="242"/>
        <item x="275"/>
        <item x="245"/>
        <item x="152"/>
        <item x="214"/>
        <item x="108"/>
        <item x="271"/>
        <item x="215"/>
        <item x="278"/>
        <item x="60"/>
        <item x="458"/>
        <item x="243"/>
        <item x="61"/>
        <item t="default"/>
      </items>
    </pivotField>
    <pivotField showAll="0"/>
    <pivotField showAll="0"/>
    <pivotField showAll="0">
      <items count="5">
        <item x="0"/>
        <item x="1"/>
        <item x="2"/>
        <item x="3"/>
        <item t="default"/>
      </items>
    </pivotField>
    <pivotField showAll="0"/>
    <pivotField showAll="0">
      <items count="13">
        <item x="1"/>
        <item x="2"/>
        <item x="3"/>
        <item x="4"/>
        <item x="5"/>
        <item x="6"/>
        <item x="7"/>
        <item x="8"/>
        <item x="9"/>
        <item x="10"/>
        <item x="11"/>
        <item x="0"/>
        <item t="default"/>
      </items>
    </pivotField>
    <pivotField showAll="0"/>
    <pivotField showAll="0"/>
    <pivotField showAll="0">
      <items count="8">
        <item x="6"/>
        <item x="0"/>
        <item x="1"/>
        <item x="2"/>
        <item x="3"/>
        <item x="4"/>
        <item x="5"/>
        <item t="default"/>
      </items>
    </pivotField>
    <pivotField showAll="0"/>
    <pivotField dataField="1" showAll="0"/>
    <pivotField showAll="0"/>
    <pivotField showAll="0"/>
    <pivotField showAll="0"/>
  </pivotFields>
  <rowItems count="1">
    <i/>
  </rowItems>
  <colItems count="1">
    <i/>
  </colItems>
  <dataFields count="1">
    <dataField name="Sum of gross_profit" fld="11" baseField="0" baseItem="0" numFmtId="165"/>
  </dataFields>
  <formats count="3">
    <format dxfId="14">
      <pivotArea type="all" dataOnly="0" outline="0" fieldPosition="0"/>
    </format>
    <format dxfId="13">
      <pivotArea outline="0" collapsedLevelsAreSubtotals="1" fieldPosition="0"/>
    </format>
    <format dxfId="12">
      <pivotArea dataOnly="0" labelOnly="1" outline="0" axis="axisValues" fieldPosition="0"/>
    </format>
  </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EA6DB8A-2CF8-42B4-AD93-B88257EA36B3}"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A63:B74" firstHeaderRow="1" firstDataRow="1" firstDataCol="1"/>
  <pivotFields count="15">
    <pivotField axis="axisRow" numFmtId="164" showAll="0" measureFilter="1" sortType="ascending">
      <items count="10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items count="5">
        <item x="0"/>
        <item x="1"/>
        <item x="2"/>
        <item x="3"/>
        <item t="default"/>
      </items>
    </pivotField>
    <pivotField showAll="0"/>
    <pivotField showAll="0">
      <items count="13">
        <item x="1"/>
        <item x="2"/>
        <item x="3"/>
        <item x="4"/>
        <item x="5"/>
        <item x="6"/>
        <item x="7"/>
        <item x="8"/>
        <item x="9"/>
        <item x="10"/>
        <item x="11"/>
        <item x="0"/>
        <item t="default"/>
      </items>
    </pivotField>
    <pivotField showAll="0"/>
    <pivotField showAll="0"/>
    <pivotField showAll="0">
      <items count="8">
        <item x="0"/>
        <item x="1"/>
        <item x="2"/>
        <item x="3"/>
        <item x="4"/>
        <item x="5"/>
        <item x="6"/>
        <item t="default"/>
      </items>
    </pivotField>
    <pivotField showAll="0"/>
    <pivotField showAll="0"/>
    <pivotField showAll="0"/>
    <pivotField showAll="0"/>
    <pivotField showAll="0"/>
  </pivotFields>
  <rowFields count="1">
    <field x="0"/>
  </rowFields>
  <rowItems count="11">
    <i>
      <x v="152"/>
    </i>
    <i>
      <x v="214"/>
    </i>
    <i>
      <x v="108"/>
    </i>
    <i>
      <x v="271"/>
    </i>
    <i>
      <x v="215"/>
    </i>
    <i>
      <x v="278"/>
    </i>
    <i>
      <x v="60"/>
    </i>
    <i>
      <x v="458"/>
    </i>
    <i>
      <x v="243"/>
    </i>
    <i>
      <x v="61"/>
    </i>
    <i t="grand">
      <x/>
    </i>
  </rowItems>
  <colItems count="1">
    <i/>
  </colItems>
  <dataFields count="1">
    <dataField name="Sum of sales" fld="1" baseField="0" baseItem="0"/>
  </dataFields>
  <chartFormats count="2">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645E071-1D9A-49A2-909B-A56101BD7BEE}" name="PivotTable1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R3:R4" firstHeaderRow="1" firstDataRow="1" firstDataCol="0"/>
  <pivotFields count="15">
    <pivotField numFmtId="164" showAll="0">
      <items count="10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showAll="0">
      <items count="1051">
        <item x="987"/>
        <item x="1015"/>
        <item x="597"/>
        <item x="598"/>
        <item x="329"/>
        <item x="863"/>
        <item x="626"/>
        <item x="949"/>
        <item x="625"/>
        <item x="331"/>
        <item x="926"/>
        <item x="986"/>
        <item x="951"/>
        <item x="1014"/>
        <item x="328"/>
        <item x="622"/>
        <item x="925"/>
        <item x="807"/>
        <item x="869"/>
        <item x="862"/>
        <item x="596"/>
        <item x="932"/>
        <item x="1013"/>
        <item x="176"/>
        <item x="924"/>
        <item x="803"/>
        <item x="800"/>
        <item x="1021"/>
        <item x="950"/>
        <item x="332"/>
        <item x="931"/>
        <item x="993"/>
        <item x="799"/>
        <item x="1022"/>
        <item x="868"/>
        <item x="870"/>
        <item x="591"/>
        <item x="922"/>
        <item x="904"/>
        <item x="1026"/>
        <item x="652"/>
        <item x="330"/>
        <item x="988"/>
        <item x="470"/>
        <item x="935"/>
        <item x="1020"/>
        <item x="629"/>
        <item x="995"/>
        <item x="806"/>
        <item x="659"/>
        <item x="653"/>
        <item x="861"/>
        <item x="867"/>
        <item x="936"/>
        <item x="444"/>
        <item x="981"/>
        <item x="965"/>
        <item x="937"/>
        <item x="630"/>
        <item x="569"/>
        <item x="590"/>
        <item x="804"/>
        <item x="929"/>
        <item x="923"/>
        <item x="402"/>
        <item x="946"/>
        <item x="992"/>
        <item x="631"/>
        <item x="333"/>
        <item x="327"/>
        <item x="437"/>
        <item x="811"/>
        <item x="361"/>
        <item x="619"/>
        <item x="945"/>
        <item x="324"/>
        <item x="443"/>
        <item x="984"/>
        <item x="317"/>
        <item x="195"/>
        <item x="991"/>
        <item x="472"/>
        <item x="994"/>
        <item x="29"/>
        <item x="442"/>
        <item x="980"/>
        <item x="1012"/>
        <item x="624"/>
        <item x="325"/>
        <item x="561"/>
        <item x="866"/>
        <item x="930"/>
        <item x="1011"/>
        <item x="939"/>
        <item x="985"/>
        <item x="623"/>
        <item x="576"/>
        <item x="654"/>
        <item x="1029"/>
        <item x="660"/>
        <item x="326"/>
        <item x="784"/>
        <item x="1025"/>
        <item x="827"/>
        <item x="810"/>
        <item x="339"/>
        <item x="318"/>
        <item x="577"/>
        <item x="658"/>
        <item x="805"/>
        <item x="50"/>
        <item x="178"/>
        <item x="661"/>
        <item x="177"/>
        <item x="316"/>
        <item x="204"/>
        <item x="477"/>
        <item x="601"/>
        <item x="575"/>
        <item x="1002"/>
        <item x="436"/>
        <item x="1019"/>
        <item x="476"/>
        <item x="1018"/>
        <item x="395"/>
        <item x="621"/>
        <item x="650"/>
        <item x="559"/>
        <item x="651"/>
        <item x="23"/>
        <item x="471"/>
        <item x="817"/>
        <item x="1001"/>
        <item x="1000"/>
        <item x="602"/>
        <item x="942"/>
        <item x="380"/>
        <item x="647"/>
        <item x="657"/>
        <item x="394"/>
        <item x="589"/>
        <item x="479"/>
        <item x="798"/>
        <item x="286"/>
        <item x="933"/>
        <item x="873"/>
        <item x="744"/>
        <item x="181"/>
        <item x="435"/>
        <item x="1028"/>
        <item x="323"/>
        <item x="475"/>
        <item x="387"/>
        <item x="560"/>
        <item x="646"/>
        <item x="24"/>
        <item x="772"/>
        <item x="820"/>
        <item x="595"/>
        <item x="31"/>
        <item x="379"/>
        <item x="540"/>
        <item x="943"/>
        <item x="812"/>
        <item x="860"/>
        <item x="388"/>
        <item x="570"/>
        <item x="447"/>
        <item x="751"/>
        <item x="440"/>
        <item x="999"/>
        <item x="30"/>
        <item x="1032"/>
        <item x="743"/>
        <item x="938"/>
        <item x="627"/>
        <item x="189"/>
        <item x="528"/>
        <item x="628"/>
        <item x="363"/>
        <item x="874"/>
        <item x="262"/>
        <item x="1016"/>
        <item x="726"/>
        <item x="288"/>
        <item x="919"/>
        <item x="377"/>
        <item x="779"/>
        <item x="304"/>
        <item x="989"/>
        <item x="567"/>
        <item x="588"/>
        <item x="1033"/>
        <item x="188"/>
        <item x="83"/>
        <item x="1008"/>
        <item x="617"/>
        <item x="1027"/>
        <item x="889"/>
        <item x="282"/>
        <item x="749"/>
        <item x="944"/>
        <item x="556"/>
        <item x="255"/>
        <item x="594"/>
        <item x="527"/>
        <item x="948"/>
        <item x="1043"/>
        <item x="338"/>
        <item x="563"/>
        <item x="568"/>
        <item x="28"/>
        <item x="998"/>
        <item x="310"/>
        <item x="405"/>
        <item x="947"/>
        <item x="261"/>
        <item x="314"/>
        <item x="796"/>
        <item x="20"/>
        <item x="584"/>
        <item x="737"/>
        <item x="465"/>
        <item x="384"/>
        <item x="196"/>
        <item x="344"/>
        <item x="583"/>
        <item x="587"/>
        <item x="265"/>
        <item x="321"/>
        <item x="618"/>
        <item x="315"/>
        <item x="771"/>
        <item x="599"/>
        <item x="374"/>
        <item x="526"/>
        <item x="393"/>
        <item x="934"/>
        <item x="1049"/>
        <item x="982"/>
        <item x="777"/>
        <item x="566"/>
        <item x="582"/>
        <item x="340"/>
        <item x="801"/>
        <item x="391"/>
        <item x="281"/>
        <item x="808"/>
        <item x="921"/>
        <item x="254"/>
        <item x="535"/>
        <item x="1007"/>
        <item x="52"/>
        <item x="381"/>
        <item x="468"/>
        <item x="693"/>
        <item x="802"/>
        <item x="864"/>
        <item x="15"/>
        <item x="562"/>
        <item x="927"/>
        <item x="441"/>
        <item x="219"/>
        <item x="199"/>
        <item x="581"/>
        <item x="448"/>
        <item x="84"/>
        <item x="785"/>
        <item x="1042"/>
        <item x="573"/>
        <item x="191"/>
        <item x="826"/>
        <item x="303"/>
        <item x="865"/>
        <item x="401"/>
        <item x="725"/>
        <item x="27"/>
        <item x="469"/>
        <item x="373"/>
        <item x="260"/>
        <item x="21"/>
        <item x="531"/>
        <item x="555"/>
        <item x="770"/>
        <item x="507"/>
        <item x="378"/>
        <item x="819"/>
        <item x="813"/>
        <item x="17"/>
        <item x="983"/>
        <item x="202"/>
        <item x="783"/>
        <item x="818"/>
        <item x="403"/>
        <item x="592"/>
        <item x="620"/>
        <item x="539"/>
        <item x="322"/>
        <item x="258"/>
        <item x="420"/>
        <item x="203"/>
        <item x="2"/>
        <item x="287"/>
        <item x="574"/>
        <item x="311"/>
        <item x="920"/>
        <item x="1009"/>
        <item x="1047"/>
        <item x="775"/>
        <item x="580"/>
        <item x="337"/>
        <item x="334"/>
        <item x="534"/>
        <item x="538"/>
        <item x="302"/>
        <item x="22"/>
        <item x="343"/>
        <item x="385"/>
        <item x="707"/>
        <item x="293"/>
        <item x="824"/>
        <item x="740"/>
        <item x="266"/>
        <item x="797"/>
        <item x="128"/>
        <item x="392"/>
        <item x="1010"/>
        <item x="1017"/>
        <item x="79"/>
        <item x="747"/>
        <item x="809"/>
        <item x="125"/>
        <item x="185"/>
        <item x="940"/>
        <item x="182"/>
        <item x="679"/>
        <item x="78"/>
        <item x="290"/>
        <item x="928"/>
        <item x="941"/>
        <item x="13"/>
        <item x="421"/>
        <item x="1048"/>
        <item x="206"/>
        <item x="1023"/>
        <item x="129"/>
        <item x="1006"/>
        <item x="871"/>
        <item x="445"/>
        <item x="748"/>
        <item x="782"/>
        <item x="1036"/>
        <item x="297"/>
        <item x="1035"/>
        <item x="386"/>
        <item x="406"/>
        <item x="1046"/>
        <item x="186"/>
        <item x="115"/>
        <item x="736"/>
        <item x="16"/>
        <item x="296"/>
        <item x="309"/>
        <item x="194"/>
        <item x="872"/>
        <item x="742"/>
        <item x="953"/>
        <item x="990"/>
        <item x="533"/>
        <item x="1041"/>
        <item x="464"/>
        <item x="335"/>
        <item x="294"/>
        <item x="9"/>
        <item x="400"/>
        <item x="600"/>
        <item x="38"/>
        <item x="1030"/>
        <item x="220"/>
        <item x="283"/>
        <item x="295"/>
        <item x="473"/>
        <item x="192"/>
        <item x="342"/>
        <item x="831"/>
        <item x="184"/>
        <item x="336"/>
        <item x="1024"/>
        <item x="404"/>
        <item x="51"/>
        <item x="738"/>
        <item x="541"/>
        <item x="896"/>
        <item x="10"/>
        <item x="190"/>
        <item x="1039"/>
        <item x="114"/>
        <item x="525"/>
        <item x="267"/>
        <item x="362"/>
        <item x="197"/>
        <item x="655"/>
        <item x="126"/>
        <item x="694"/>
        <item x="656"/>
        <item x="731"/>
        <item x="675"/>
        <item x="960"/>
        <item x="367"/>
        <item x="1040"/>
        <item x="875"/>
        <item x="34"/>
        <item x="171"/>
        <item x="466"/>
        <item x="111"/>
        <item x="958"/>
        <item x="14"/>
        <item x="143"/>
        <item x="25"/>
        <item x="666"/>
        <item x="493"/>
        <item x="593"/>
        <item x="438"/>
        <item x="187"/>
        <item x="708"/>
        <item x="434"/>
        <item x="1004"/>
        <item x="664"/>
        <item x="99"/>
        <item x="668"/>
        <item x="97"/>
        <item x="564"/>
        <item x="127"/>
        <item x="87"/>
        <item x="649"/>
        <item x="259"/>
        <item x="585"/>
        <item x="966"/>
        <item x="376"/>
        <item x="291"/>
        <item x="446"/>
        <item x="741"/>
        <item x="433"/>
        <item x="959"/>
        <item x="253"/>
        <item x="956"/>
        <item x="833"/>
        <item x="903"/>
        <item x="665"/>
        <item x="776"/>
        <item x="375"/>
        <item x="119"/>
        <item x="834"/>
        <item x="200"/>
        <item x="100"/>
        <item x="118"/>
        <item x="1031"/>
        <item x="449"/>
        <item x="632"/>
        <item x="86"/>
        <item x="571"/>
        <item x="557"/>
        <item x="467"/>
        <item x="648"/>
        <item x="840"/>
        <item x="1034"/>
        <item x="964"/>
        <item x="300"/>
        <item x="565"/>
        <item x="793"/>
        <item x="895"/>
        <item x="36"/>
        <item x="85"/>
        <item x="289"/>
        <item x="821"/>
        <item x="832"/>
        <item x="680"/>
        <item x="124"/>
        <item x="825"/>
        <item x="179"/>
        <item x="120"/>
        <item x="586"/>
        <item x="98"/>
        <item x="478"/>
        <item x="474"/>
        <item x="727"/>
        <item x="56"/>
        <item x="710"/>
        <item x="364"/>
        <item x="724"/>
        <item x="48"/>
        <item x="972"/>
        <item x="193"/>
        <item x="678"/>
        <item x="901"/>
        <item x="396"/>
        <item x="739"/>
        <item x="174"/>
        <item x="789"/>
        <item x="41"/>
        <item x="18"/>
        <item x="43"/>
        <item x="461"/>
        <item x="554"/>
        <item x="94"/>
        <item x="419"/>
        <item x="963"/>
        <item x="263"/>
        <item x="360"/>
        <item x="32"/>
        <item x="505"/>
        <item x="285"/>
        <item x="45"/>
        <item x="175"/>
        <item x="894"/>
        <item x="55"/>
        <item x="409"/>
        <item x="572"/>
        <item x="407"/>
        <item x="891"/>
        <item x="859"/>
        <item x="414"/>
        <item x="312"/>
        <item x="682"/>
        <item x="709"/>
        <item x="536"/>
        <item x="794"/>
        <item x="558"/>
        <item x="1005"/>
        <item x="638"/>
        <item x="35"/>
        <item x="905"/>
        <item x="902"/>
        <item x="416"/>
        <item x="11"/>
        <item x="578"/>
        <item x="301"/>
        <item x="689"/>
        <item x="430"/>
        <item x="134"/>
        <item x="180"/>
        <item x="12"/>
        <item x="952"/>
        <item x="688"/>
        <item x="996"/>
        <item x="42"/>
        <item x="681"/>
        <item x="307"/>
        <item x="256"/>
        <item x="773"/>
        <item x="352"/>
        <item x="754"/>
        <item x="500"/>
        <item x="382"/>
        <item x="532"/>
        <item x="319"/>
        <item x="19"/>
        <item x="745"/>
        <item x="633"/>
        <item x="341"/>
        <item x="439"/>
        <item x="49"/>
        <item x="839"/>
        <item x="997"/>
        <item x="399"/>
        <item x="795"/>
        <item x="687"/>
        <item x="692"/>
        <item x="264"/>
        <item x="970"/>
        <item x="979"/>
        <item x="389"/>
        <item x="121"/>
        <item x="529"/>
        <item x="26"/>
        <item x="719"/>
        <item x="828"/>
        <item x="93"/>
        <item x="1003"/>
        <item x="198"/>
        <item x="552"/>
        <item x="423"/>
        <item x="346"/>
        <item x="390"/>
        <item x="778"/>
        <item x="667"/>
        <item x="750"/>
        <item x="971"/>
        <item x="232"/>
        <item x="313"/>
        <item x="1044"/>
        <item x="786"/>
        <item x="415"/>
        <item x="112"/>
        <item x="728"/>
        <item x="780"/>
        <item x="345"/>
        <item x="408"/>
        <item x="835"/>
        <item x="957"/>
        <item x="890"/>
        <item x="816"/>
        <item x="790"/>
        <item x="636"/>
        <item x="44"/>
        <item x="123"/>
        <item x="90"/>
        <item x="234"/>
        <item x="733"/>
        <item x="73"/>
        <item x="615"/>
        <item x="838"/>
        <item x="1045"/>
        <item x="546"/>
        <item x="205"/>
        <item x="351"/>
        <item x="506"/>
        <item x="104"/>
        <item x="841"/>
        <item x="499"/>
        <item x="139"/>
        <item x="496"/>
        <item x="305"/>
        <item x="842"/>
        <item x="66"/>
        <item x="1037"/>
        <item x="140"/>
        <item x="685"/>
        <item x="537"/>
        <item x="292"/>
        <item x="510"/>
        <item x="383"/>
        <item x="792"/>
        <item x="398"/>
        <item x="233"/>
        <item x="257"/>
        <item x="774"/>
        <item x="881"/>
        <item x="82"/>
        <item x="579"/>
        <item x="356"/>
        <item x="553"/>
        <item x="163"/>
        <item x="768"/>
        <item x="463"/>
        <item x="503"/>
        <item x="686"/>
        <item x="349"/>
        <item x="888"/>
        <item x="227"/>
        <item x="141"/>
        <item x="370"/>
        <item x="616"/>
        <item x="6"/>
        <item x="101"/>
        <item x="524"/>
        <item x="284"/>
        <item x="183"/>
        <item x="122"/>
        <item x="80"/>
        <item x="320"/>
        <item x="791"/>
        <item x="33"/>
        <item x="372"/>
        <item x="462"/>
        <item x="113"/>
        <item x="133"/>
        <item x="542"/>
        <item x="170"/>
        <item x="157"/>
        <item x="530"/>
        <item x="713"/>
        <item x="168"/>
        <item x="545"/>
        <item x="662"/>
        <item x="845"/>
        <item x="71"/>
        <item x="37"/>
        <item x="162"/>
        <item x="787"/>
        <item x="225"/>
        <item x="95"/>
        <item x="484"/>
        <item x="91"/>
        <item x="637"/>
        <item x="746"/>
        <item x="72"/>
        <item x="673"/>
        <item x="498"/>
        <item x="105"/>
        <item x="160"/>
        <item x="483"/>
        <item x="142"/>
        <item x="706"/>
        <item x="758"/>
        <item x="823"/>
        <item x="223"/>
        <item x="504"/>
        <item x="226"/>
        <item x="765"/>
        <item x="212"/>
        <item x="422"/>
        <item x="497"/>
        <item x="485"/>
        <item x="512"/>
        <item x="3"/>
        <item x="397"/>
        <item x="164"/>
        <item x="482"/>
        <item x="132"/>
        <item x="910"/>
        <item x="81"/>
        <item x="703"/>
        <item x="135"/>
        <item x="521"/>
        <item x="674"/>
        <item x="898"/>
        <item x="1038"/>
        <item x="608"/>
        <item x="353"/>
        <item x="643"/>
        <item x="172"/>
        <item x="173"/>
        <item x="412"/>
        <item x="918"/>
        <item x="880"/>
        <item x="357"/>
        <item x="756"/>
        <item x="308"/>
        <item x="887"/>
        <item x="150"/>
        <item x="769"/>
        <item x="729"/>
        <item x="977"/>
        <item x="268"/>
        <item x="877"/>
        <item x="954"/>
        <item x="146"/>
        <item x="911"/>
        <item x="211"/>
        <item x="547"/>
        <item x="169"/>
        <item x="716"/>
        <item x="161"/>
        <item x="237"/>
        <item x="757"/>
        <item x="676"/>
        <item x="755"/>
        <item x="455"/>
        <item x="735"/>
        <item x="788"/>
        <item x="365"/>
        <item x="96"/>
        <item x="603"/>
        <item x="514"/>
        <item x="761"/>
        <item x="147"/>
        <item x="917"/>
        <item x="714"/>
        <item x="371"/>
        <item x="413"/>
        <item x="908"/>
        <item x="645"/>
        <item x="0"/>
        <item x="8"/>
        <item x="897"/>
        <item x="454"/>
        <item x="167"/>
        <item x="69"/>
        <item x="492"/>
        <item x="57"/>
        <item x="58"/>
        <item x="148"/>
        <item x="967"/>
        <item x="76"/>
        <item x="815"/>
        <item x="978"/>
        <item x="605"/>
        <item x="451"/>
        <item x="711"/>
        <item x="961"/>
        <item x="224"/>
        <item x="822"/>
        <item x="251"/>
        <item x="715"/>
        <item x="427"/>
        <item x="973"/>
        <item x="856"/>
        <item x="699"/>
        <item x="230"/>
        <item x="491"/>
        <item x="915"/>
        <item x="201"/>
        <item x="239"/>
        <item x="695"/>
        <item x="513"/>
        <item x="77"/>
        <item x="149"/>
        <item x="252"/>
        <item x="92"/>
        <item x="369"/>
        <item x="306"/>
        <item x="702"/>
        <item x="298"/>
        <item x="428"/>
        <item x="106"/>
        <item x="962"/>
        <item x="549"/>
        <item x="846"/>
        <item x="892"/>
        <item x="663"/>
        <item x="450"/>
        <item x="876"/>
        <item x="909"/>
        <item x="231"/>
        <item x="65"/>
        <item x="511"/>
        <item x="426"/>
        <item x="849"/>
        <item x="241"/>
        <item x="429"/>
        <item x="882"/>
        <item x="489"/>
        <item x="700"/>
        <item x="218"/>
        <item x="701"/>
        <item x="732"/>
        <item x="814"/>
        <item x="829"/>
        <item x="764"/>
        <item x="273"/>
        <item x="517"/>
        <item x="955"/>
        <item x="209"/>
        <item x="752"/>
        <item x="418"/>
        <item x="722"/>
        <item x="550"/>
        <item x="431"/>
        <item x="672"/>
        <item x="520"/>
        <item x="136"/>
        <item x="368"/>
        <item x="612"/>
        <item x="830"/>
        <item x="717"/>
        <item x="354"/>
        <item x="240"/>
        <item x="671"/>
        <item x="734"/>
        <item x="604"/>
        <item x="88"/>
        <item x="884"/>
        <item x="763"/>
        <item x="347"/>
        <item x="279"/>
        <item x="677"/>
        <item x="847"/>
        <item x="916"/>
        <item x="350"/>
        <item x="912"/>
        <item x="853"/>
        <item x="272"/>
        <item x="117"/>
        <item x="669"/>
        <item x="855"/>
        <item x="70"/>
        <item x="156"/>
        <item x="158"/>
        <item x="720"/>
        <item x="210"/>
        <item x="417"/>
        <item x="522"/>
        <item x="893"/>
        <item x="107"/>
        <item x="644"/>
        <item x="213"/>
        <item x="116"/>
        <item x="854"/>
        <item x="1"/>
        <item x="690"/>
        <item x="39"/>
        <item x="299"/>
        <item x="130"/>
        <item x="548"/>
        <item x="7"/>
        <item x="432"/>
        <item x="5"/>
        <item x="216"/>
        <item x="424"/>
        <item x="900"/>
        <item x="54"/>
        <item x="691"/>
        <item x="64"/>
        <item x="696"/>
        <item x="248"/>
        <item x="721"/>
        <item x="848"/>
        <item x="974"/>
        <item x="753"/>
        <item x="40"/>
        <item x="355"/>
        <item x="551"/>
        <item x="358"/>
        <item x="238"/>
        <item x="704"/>
        <item x="53"/>
        <item x="102"/>
        <item x="543"/>
        <item x="490"/>
        <item x="508"/>
        <item x="639"/>
        <item x="781"/>
        <item x="730"/>
        <item x="766"/>
        <item x="4"/>
        <item x="837"/>
        <item x="155"/>
        <item x="899"/>
        <item x="494"/>
        <item x="609"/>
        <item x="712"/>
        <item x="519"/>
        <item x="46"/>
        <item x="718"/>
        <item x="968"/>
        <item x="762"/>
        <item x="613"/>
        <item x="857"/>
        <item x="480"/>
        <item x="59"/>
        <item x="611"/>
        <item x="523"/>
        <item x="425"/>
        <item x="843"/>
        <item x="635"/>
        <item x="836"/>
        <item x="452"/>
        <item x="852"/>
        <item x="969"/>
        <item x="456"/>
        <item x="89"/>
        <item x="274"/>
        <item x="244"/>
        <item x="683"/>
        <item x="269"/>
        <item x="410"/>
        <item x="110"/>
        <item x="217"/>
        <item x="878"/>
        <item x="614"/>
        <item x="366"/>
        <item x="47"/>
        <item x="634"/>
        <item x="883"/>
        <item x="976"/>
        <item x="544"/>
        <item x="348"/>
        <item x="975"/>
        <item x="767"/>
        <item x="885"/>
        <item x="103"/>
        <item x="280"/>
        <item x="697"/>
        <item x="235"/>
        <item x="684"/>
        <item x="705"/>
        <item x="501"/>
        <item x="610"/>
        <item x="486"/>
        <item x="606"/>
        <item x="858"/>
        <item x="906"/>
        <item x="495"/>
        <item x="670"/>
        <item x="159"/>
        <item x="723"/>
        <item x="641"/>
        <item x="74"/>
        <item x="879"/>
        <item x="759"/>
        <item x="460"/>
        <item x="886"/>
        <item x="640"/>
        <item x="222"/>
        <item x="502"/>
        <item x="137"/>
        <item x="509"/>
        <item x="844"/>
        <item x="411"/>
        <item x="154"/>
        <item x="144"/>
        <item x="131"/>
        <item x="698"/>
        <item x="221"/>
        <item x="518"/>
        <item x="642"/>
        <item x="236"/>
        <item x="914"/>
        <item x="850"/>
        <item x="153"/>
        <item x="453"/>
        <item x="607"/>
        <item x="907"/>
        <item x="488"/>
        <item x="247"/>
        <item x="109"/>
        <item x="67"/>
        <item x="165"/>
        <item x="246"/>
        <item x="276"/>
        <item x="515"/>
        <item x="228"/>
        <item x="166"/>
        <item x="62"/>
        <item x="913"/>
        <item x="359"/>
        <item x="481"/>
        <item x="138"/>
        <item x="457"/>
        <item x="487"/>
        <item x="249"/>
        <item x="151"/>
        <item x="459"/>
        <item x="760"/>
        <item x="207"/>
        <item x="75"/>
        <item x="277"/>
        <item x="68"/>
        <item x="63"/>
        <item x="229"/>
        <item x="516"/>
        <item x="250"/>
        <item x="851"/>
        <item x="208"/>
        <item x="270"/>
        <item x="145"/>
        <item x="242"/>
        <item x="275"/>
        <item x="245"/>
        <item x="152"/>
        <item x="214"/>
        <item x="108"/>
        <item x="271"/>
        <item x="215"/>
        <item x="278"/>
        <item x="60"/>
        <item x="458"/>
        <item x="243"/>
        <item x="61"/>
        <item t="default"/>
      </items>
    </pivotField>
    <pivotField showAll="0"/>
    <pivotField showAll="0"/>
    <pivotField showAll="0">
      <items count="5">
        <item x="0"/>
        <item x="1"/>
        <item x="2"/>
        <item x="3"/>
        <item t="default"/>
      </items>
    </pivotField>
    <pivotField showAll="0"/>
    <pivotField showAll="0">
      <items count="13">
        <item x="1"/>
        <item x="2"/>
        <item x="3"/>
        <item x="4"/>
        <item x="5"/>
        <item x="6"/>
        <item x="7"/>
        <item x="8"/>
        <item x="9"/>
        <item x="10"/>
        <item x="11"/>
        <item x="0"/>
        <item t="default"/>
      </items>
    </pivotField>
    <pivotField showAll="0"/>
    <pivotField showAll="0"/>
    <pivotField showAll="0">
      <items count="8">
        <item x="6"/>
        <item x="0"/>
        <item x="1"/>
        <item x="2"/>
        <item x="3"/>
        <item x="4"/>
        <item x="5"/>
        <item t="default"/>
      </items>
    </pivotField>
    <pivotField showAll="0"/>
    <pivotField showAll="0"/>
    <pivotField showAll="0"/>
    <pivotField showAll="0"/>
    <pivotField dataField="1" showAll="0"/>
  </pivotFields>
  <rowItems count="1">
    <i/>
  </rowItems>
  <colItems count="1">
    <i/>
  </colItems>
  <dataFields count="1">
    <dataField name="Average of gross_profit_percentage_per_unit" fld="14" subtotal="average" baseField="0" baseItem="45"/>
  </dataFields>
  <formats count="3">
    <format dxfId="17">
      <pivotArea type="all" dataOnly="0" outline="0" fieldPosition="0"/>
    </format>
    <format dxfId="16">
      <pivotArea outline="0" collapsedLevelsAreSubtotals="1" fieldPosition="0"/>
    </format>
    <format dxfId="15">
      <pivotArea dataOnly="0" labelOnly="1" outline="0" axis="axisValues" fieldPosition="0"/>
    </format>
  </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2F11D93-D1CA-4185-9524-688436D430A2}" name="PivotTable1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M3:N4" firstHeaderRow="0" firstDataRow="1" firstDataCol="0"/>
  <pivotFields count="15">
    <pivotField numFmtId="164" showAll="0">
      <items count="10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dataField="1" showAll="0">
      <items count="1051">
        <item x="987"/>
        <item x="1015"/>
        <item x="597"/>
        <item x="598"/>
        <item x="329"/>
        <item x="863"/>
        <item x="626"/>
        <item x="949"/>
        <item x="625"/>
        <item x="331"/>
        <item x="926"/>
        <item x="986"/>
        <item x="951"/>
        <item x="1014"/>
        <item x="328"/>
        <item x="622"/>
        <item x="925"/>
        <item x="807"/>
        <item x="869"/>
        <item x="862"/>
        <item x="596"/>
        <item x="932"/>
        <item x="1013"/>
        <item x="176"/>
        <item x="924"/>
        <item x="803"/>
        <item x="800"/>
        <item x="1021"/>
        <item x="950"/>
        <item x="332"/>
        <item x="931"/>
        <item x="993"/>
        <item x="799"/>
        <item x="1022"/>
        <item x="868"/>
        <item x="870"/>
        <item x="591"/>
        <item x="922"/>
        <item x="904"/>
        <item x="1026"/>
        <item x="652"/>
        <item x="330"/>
        <item x="988"/>
        <item x="470"/>
        <item x="935"/>
        <item x="1020"/>
        <item x="629"/>
        <item x="995"/>
        <item x="806"/>
        <item x="659"/>
        <item x="653"/>
        <item x="861"/>
        <item x="867"/>
        <item x="936"/>
        <item x="444"/>
        <item x="981"/>
        <item x="965"/>
        <item x="937"/>
        <item x="630"/>
        <item x="569"/>
        <item x="590"/>
        <item x="804"/>
        <item x="929"/>
        <item x="923"/>
        <item x="402"/>
        <item x="946"/>
        <item x="992"/>
        <item x="631"/>
        <item x="333"/>
        <item x="327"/>
        <item x="437"/>
        <item x="811"/>
        <item x="361"/>
        <item x="619"/>
        <item x="945"/>
        <item x="324"/>
        <item x="443"/>
        <item x="984"/>
        <item x="317"/>
        <item x="195"/>
        <item x="991"/>
        <item x="472"/>
        <item x="994"/>
        <item x="29"/>
        <item x="442"/>
        <item x="980"/>
        <item x="1012"/>
        <item x="624"/>
        <item x="325"/>
        <item x="561"/>
        <item x="866"/>
        <item x="930"/>
        <item x="1011"/>
        <item x="939"/>
        <item x="985"/>
        <item x="623"/>
        <item x="576"/>
        <item x="654"/>
        <item x="1029"/>
        <item x="660"/>
        <item x="326"/>
        <item x="784"/>
        <item x="1025"/>
        <item x="827"/>
        <item x="810"/>
        <item x="339"/>
        <item x="318"/>
        <item x="577"/>
        <item x="658"/>
        <item x="805"/>
        <item x="50"/>
        <item x="178"/>
        <item x="661"/>
        <item x="177"/>
        <item x="316"/>
        <item x="204"/>
        <item x="477"/>
        <item x="601"/>
        <item x="575"/>
        <item x="1002"/>
        <item x="436"/>
        <item x="1019"/>
        <item x="476"/>
        <item x="1018"/>
        <item x="395"/>
        <item x="621"/>
        <item x="650"/>
        <item x="559"/>
        <item x="651"/>
        <item x="23"/>
        <item x="471"/>
        <item x="817"/>
        <item x="1001"/>
        <item x="1000"/>
        <item x="602"/>
        <item x="942"/>
        <item x="380"/>
        <item x="647"/>
        <item x="657"/>
        <item x="394"/>
        <item x="589"/>
        <item x="479"/>
        <item x="798"/>
        <item x="286"/>
        <item x="933"/>
        <item x="873"/>
        <item x="744"/>
        <item x="181"/>
        <item x="435"/>
        <item x="1028"/>
        <item x="323"/>
        <item x="475"/>
        <item x="387"/>
        <item x="560"/>
        <item x="646"/>
        <item x="24"/>
        <item x="772"/>
        <item x="820"/>
        <item x="595"/>
        <item x="31"/>
        <item x="379"/>
        <item x="540"/>
        <item x="943"/>
        <item x="812"/>
        <item x="860"/>
        <item x="388"/>
        <item x="570"/>
        <item x="447"/>
        <item x="751"/>
        <item x="440"/>
        <item x="999"/>
        <item x="30"/>
        <item x="1032"/>
        <item x="743"/>
        <item x="938"/>
        <item x="627"/>
        <item x="189"/>
        <item x="528"/>
        <item x="628"/>
        <item x="363"/>
        <item x="874"/>
        <item x="262"/>
        <item x="1016"/>
        <item x="726"/>
        <item x="288"/>
        <item x="919"/>
        <item x="377"/>
        <item x="779"/>
        <item x="304"/>
        <item x="989"/>
        <item x="567"/>
        <item x="588"/>
        <item x="1033"/>
        <item x="188"/>
        <item x="83"/>
        <item x="1008"/>
        <item x="617"/>
        <item x="1027"/>
        <item x="889"/>
        <item x="282"/>
        <item x="749"/>
        <item x="944"/>
        <item x="556"/>
        <item x="255"/>
        <item x="594"/>
        <item x="527"/>
        <item x="948"/>
        <item x="1043"/>
        <item x="338"/>
        <item x="563"/>
        <item x="568"/>
        <item x="28"/>
        <item x="998"/>
        <item x="310"/>
        <item x="405"/>
        <item x="947"/>
        <item x="261"/>
        <item x="314"/>
        <item x="796"/>
        <item x="20"/>
        <item x="584"/>
        <item x="737"/>
        <item x="465"/>
        <item x="384"/>
        <item x="196"/>
        <item x="344"/>
        <item x="583"/>
        <item x="587"/>
        <item x="265"/>
        <item x="321"/>
        <item x="618"/>
        <item x="315"/>
        <item x="771"/>
        <item x="599"/>
        <item x="374"/>
        <item x="526"/>
        <item x="393"/>
        <item x="934"/>
        <item x="1049"/>
        <item x="982"/>
        <item x="777"/>
        <item x="566"/>
        <item x="582"/>
        <item x="340"/>
        <item x="801"/>
        <item x="391"/>
        <item x="281"/>
        <item x="808"/>
        <item x="921"/>
        <item x="254"/>
        <item x="535"/>
        <item x="1007"/>
        <item x="52"/>
        <item x="381"/>
        <item x="468"/>
        <item x="693"/>
        <item x="802"/>
        <item x="864"/>
        <item x="15"/>
        <item x="562"/>
        <item x="927"/>
        <item x="441"/>
        <item x="219"/>
        <item x="199"/>
        <item x="581"/>
        <item x="448"/>
        <item x="84"/>
        <item x="785"/>
        <item x="1042"/>
        <item x="573"/>
        <item x="191"/>
        <item x="826"/>
        <item x="303"/>
        <item x="865"/>
        <item x="401"/>
        <item x="725"/>
        <item x="27"/>
        <item x="469"/>
        <item x="373"/>
        <item x="260"/>
        <item x="21"/>
        <item x="531"/>
        <item x="555"/>
        <item x="770"/>
        <item x="507"/>
        <item x="378"/>
        <item x="819"/>
        <item x="813"/>
        <item x="17"/>
        <item x="983"/>
        <item x="202"/>
        <item x="783"/>
        <item x="818"/>
        <item x="403"/>
        <item x="592"/>
        <item x="620"/>
        <item x="539"/>
        <item x="322"/>
        <item x="258"/>
        <item x="420"/>
        <item x="203"/>
        <item x="2"/>
        <item x="287"/>
        <item x="574"/>
        <item x="311"/>
        <item x="920"/>
        <item x="1009"/>
        <item x="1047"/>
        <item x="775"/>
        <item x="580"/>
        <item x="337"/>
        <item x="334"/>
        <item x="534"/>
        <item x="538"/>
        <item x="302"/>
        <item x="22"/>
        <item x="343"/>
        <item x="385"/>
        <item x="707"/>
        <item x="293"/>
        <item x="824"/>
        <item x="740"/>
        <item x="266"/>
        <item x="797"/>
        <item x="128"/>
        <item x="392"/>
        <item x="1010"/>
        <item x="1017"/>
        <item x="79"/>
        <item x="747"/>
        <item x="809"/>
        <item x="125"/>
        <item x="185"/>
        <item x="940"/>
        <item x="182"/>
        <item x="679"/>
        <item x="78"/>
        <item x="290"/>
        <item x="928"/>
        <item x="941"/>
        <item x="13"/>
        <item x="421"/>
        <item x="1048"/>
        <item x="206"/>
        <item x="1023"/>
        <item x="129"/>
        <item x="1006"/>
        <item x="871"/>
        <item x="445"/>
        <item x="748"/>
        <item x="782"/>
        <item x="1036"/>
        <item x="297"/>
        <item x="1035"/>
        <item x="386"/>
        <item x="406"/>
        <item x="1046"/>
        <item x="186"/>
        <item x="115"/>
        <item x="736"/>
        <item x="16"/>
        <item x="296"/>
        <item x="309"/>
        <item x="194"/>
        <item x="872"/>
        <item x="742"/>
        <item x="953"/>
        <item x="990"/>
        <item x="533"/>
        <item x="1041"/>
        <item x="464"/>
        <item x="335"/>
        <item x="294"/>
        <item x="9"/>
        <item x="400"/>
        <item x="600"/>
        <item x="38"/>
        <item x="1030"/>
        <item x="220"/>
        <item x="283"/>
        <item x="295"/>
        <item x="473"/>
        <item x="192"/>
        <item x="342"/>
        <item x="831"/>
        <item x="184"/>
        <item x="336"/>
        <item x="1024"/>
        <item x="404"/>
        <item x="51"/>
        <item x="738"/>
        <item x="541"/>
        <item x="896"/>
        <item x="10"/>
        <item x="190"/>
        <item x="1039"/>
        <item x="114"/>
        <item x="525"/>
        <item x="267"/>
        <item x="362"/>
        <item x="197"/>
        <item x="655"/>
        <item x="126"/>
        <item x="694"/>
        <item x="656"/>
        <item x="731"/>
        <item x="675"/>
        <item x="960"/>
        <item x="367"/>
        <item x="1040"/>
        <item x="875"/>
        <item x="34"/>
        <item x="171"/>
        <item x="466"/>
        <item x="111"/>
        <item x="958"/>
        <item x="14"/>
        <item x="143"/>
        <item x="25"/>
        <item x="666"/>
        <item x="493"/>
        <item x="593"/>
        <item x="438"/>
        <item x="187"/>
        <item x="708"/>
        <item x="434"/>
        <item x="1004"/>
        <item x="664"/>
        <item x="99"/>
        <item x="668"/>
        <item x="97"/>
        <item x="564"/>
        <item x="127"/>
        <item x="87"/>
        <item x="649"/>
        <item x="259"/>
        <item x="585"/>
        <item x="966"/>
        <item x="376"/>
        <item x="291"/>
        <item x="446"/>
        <item x="741"/>
        <item x="433"/>
        <item x="959"/>
        <item x="253"/>
        <item x="956"/>
        <item x="833"/>
        <item x="903"/>
        <item x="665"/>
        <item x="776"/>
        <item x="375"/>
        <item x="119"/>
        <item x="834"/>
        <item x="200"/>
        <item x="100"/>
        <item x="118"/>
        <item x="1031"/>
        <item x="449"/>
        <item x="632"/>
        <item x="86"/>
        <item x="571"/>
        <item x="557"/>
        <item x="467"/>
        <item x="648"/>
        <item x="840"/>
        <item x="1034"/>
        <item x="964"/>
        <item x="300"/>
        <item x="565"/>
        <item x="793"/>
        <item x="895"/>
        <item x="36"/>
        <item x="85"/>
        <item x="289"/>
        <item x="821"/>
        <item x="832"/>
        <item x="680"/>
        <item x="124"/>
        <item x="825"/>
        <item x="179"/>
        <item x="120"/>
        <item x="586"/>
        <item x="98"/>
        <item x="478"/>
        <item x="474"/>
        <item x="727"/>
        <item x="56"/>
        <item x="710"/>
        <item x="364"/>
        <item x="724"/>
        <item x="48"/>
        <item x="972"/>
        <item x="193"/>
        <item x="678"/>
        <item x="901"/>
        <item x="396"/>
        <item x="739"/>
        <item x="174"/>
        <item x="789"/>
        <item x="41"/>
        <item x="18"/>
        <item x="43"/>
        <item x="461"/>
        <item x="554"/>
        <item x="94"/>
        <item x="419"/>
        <item x="963"/>
        <item x="263"/>
        <item x="360"/>
        <item x="32"/>
        <item x="505"/>
        <item x="285"/>
        <item x="45"/>
        <item x="175"/>
        <item x="894"/>
        <item x="55"/>
        <item x="409"/>
        <item x="572"/>
        <item x="407"/>
        <item x="891"/>
        <item x="859"/>
        <item x="414"/>
        <item x="312"/>
        <item x="682"/>
        <item x="709"/>
        <item x="536"/>
        <item x="794"/>
        <item x="558"/>
        <item x="1005"/>
        <item x="638"/>
        <item x="35"/>
        <item x="905"/>
        <item x="902"/>
        <item x="416"/>
        <item x="11"/>
        <item x="578"/>
        <item x="301"/>
        <item x="689"/>
        <item x="430"/>
        <item x="134"/>
        <item x="180"/>
        <item x="12"/>
        <item x="952"/>
        <item x="688"/>
        <item x="996"/>
        <item x="42"/>
        <item x="681"/>
        <item x="307"/>
        <item x="256"/>
        <item x="773"/>
        <item x="352"/>
        <item x="754"/>
        <item x="500"/>
        <item x="382"/>
        <item x="532"/>
        <item x="319"/>
        <item x="19"/>
        <item x="745"/>
        <item x="633"/>
        <item x="341"/>
        <item x="439"/>
        <item x="49"/>
        <item x="839"/>
        <item x="997"/>
        <item x="399"/>
        <item x="795"/>
        <item x="687"/>
        <item x="692"/>
        <item x="264"/>
        <item x="970"/>
        <item x="979"/>
        <item x="389"/>
        <item x="121"/>
        <item x="529"/>
        <item x="26"/>
        <item x="719"/>
        <item x="828"/>
        <item x="93"/>
        <item x="1003"/>
        <item x="198"/>
        <item x="552"/>
        <item x="423"/>
        <item x="346"/>
        <item x="390"/>
        <item x="778"/>
        <item x="667"/>
        <item x="750"/>
        <item x="971"/>
        <item x="232"/>
        <item x="313"/>
        <item x="1044"/>
        <item x="786"/>
        <item x="415"/>
        <item x="112"/>
        <item x="728"/>
        <item x="780"/>
        <item x="345"/>
        <item x="408"/>
        <item x="835"/>
        <item x="957"/>
        <item x="890"/>
        <item x="816"/>
        <item x="790"/>
        <item x="636"/>
        <item x="44"/>
        <item x="123"/>
        <item x="90"/>
        <item x="234"/>
        <item x="733"/>
        <item x="73"/>
        <item x="615"/>
        <item x="838"/>
        <item x="1045"/>
        <item x="546"/>
        <item x="205"/>
        <item x="351"/>
        <item x="506"/>
        <item x="104"/>
        <item x="841"/>
        <item x="499"/>
        <item x="139"/>
        <item x="496"/>
        <item x="305"/>
        <item x="842"/>
        <item x="66"/>
        <item x="1037"/>
        <item x="140"/>
        <item x="685"/>
        <item x="537"/>
        <item x="292"/>
        <item x="510"/>
        <item x="383"/>
        <item x="792"/>
        <item x="398"/>
        <item x="233"/>
        <item x="257"/>
        <item x="774"/>
        <item x="881"/>
        <item x="82"/>
        <item x="579"/>
        <item x="356"/>
        <item x="553"/>
        <item x="163"/>
        <item x="768"/>
        <item x="463"/>
        <item x="503"/>
        <item x="686"/>
        <item x="349"/>
        <item x="888"/>
        <item x="227"/>
        <item x="141"/>
        <item x="370"/>
        <item x="616"/>
        <item x="6"/>
        <item x="101"/>
        <item x="524"/>
        <item x="284"/>
        <item x="183"/>
        <item x="122"/>
        <item x="80"/>
        <item x="320"/>
        <item x="791"/>
        <item x="33"/>
        <item x="372"/>
        <item x="462"/>
        <item x="113"/>
        <item x="133"/>
        <item x="542"/>
        <item x="170"/>
        <item x="157"/>
        <item x="530"/>
        <item x="713"/>
        <item x="168"/>
        <item x="545"/>
        <item x="662"/>
        <item x="845"/>
        <item x="71"/>
        <item x="37"/>
        <item x="162"/>
        <item x="787"/>
        <item x="225"/>
        <item x="95"/>
        <item x="484"/>
        <item x="91"/>
        <item x="637"/>
        <item x="746"/>
        <item x="72"/>
        <item x="673"/>
        <item x="498"/>
        <item x="105"/>
        <item x="160"/>
        <item x="483"/>
        <item x="142"/>
        <item x="706"/>
        <item x="758"/>
        <item x="823"/>
        <item x="223"/>
        <item x="504"/>
        <item x="226"/>
        <item x="765"/>
        <item x="212"/>
        <item x="422"/>
        <item x="497"/>
        <item x="485"/>
        <item x="512"/>
        <item x="3"/>
        <item x="397"/>
        <item x="164"/>
        <item x="482"/>
        <item x="132"/>
        <item x="910"/>
        <item x="81"/>
        <item x="703"/>
        <item x="135"/>
        <item x="521"/>
        <item x="674"/>
        <item x="898"/>
        <item x="1038"/>
        <item x="608"/>
        <item x="353"/>
        <item x="643"/>
        <item x="172"/>
        <item x="173"/>
        <item x="412"/>
        <item x="918"/>
        <item x="880"/>
        <item x="357"/>
        <item x="756"/>
        <item x="308"/>
        <item x="887"/>
        <item x="150"/>
        <item x="769"/>
        <item x="729"/>
        <item x="977"/>
        <item x="268"/>
        <item x="877"/>
        <item x="954"/>
        <item x="146"/>
        <item x="911"/>
        <item x="211"/>
        <item x="547"/>
        <item x="169"/>
        <item x="716"/>
        <item x="161"/>
        <item x="237"/>
        <item x="757"/>
        <item x="676"/>
        <item x="755"/>
        <item x="455"/>
        <item x="735"/>
        <item x="788"/>
        <item x="365"/>
        <item x="96"/>
        <item x="603"/>
        <item x="514"/>
        <item x="761"/>
        <item x="147"/>
        <item x="917"/>
        <item x="714"/>
        <item x="371"/>
        <item x="413"/>
        <item x="908"/>
        <item x="645"/>
        <item x="0"/>
        <item x="8"/>
        <item x="897"/>
        <item x="454"/>
        <item x="167"/>
        <item x="69"/>
        <item x="492"/>
        <item x="57"/>
        <item x="58"/>
        <item x="148"/>
        <item x="967"/>
        <item x="76"/>
        <item x="815"/>
        <item x="978"/>
        <item x="605"/>
        <item x="451"/>
        <item x="711"/>
        <item x="961"/>
        <item x="224"/>
        <item x="822"/>
        <item x="251"/>
        <item x="715"/>
        <item x="427"/>
        <item x="973"/>
        <item x="856"/>
        <item x="699"/>
        <item x="230"/>
        <item x="491"/>
        <item x="915"/>
        <item x="201"/>
        <item x="239"/>
        <item x="695"/>
        <item x="513"/>
        <item x="77"/>
        <item x="149"/>
        <item x="252"/>
        <item x="92"/>
        <item x="369"/>
        <item x="306"/>
        <item x="702"/>
        <item x="298"/>
        <item x="428"/>
        <item x="106"/>
        <item x="962"/>
        <item x="549"/>
        <item x="846"/>
        <item x="892"/>
        <item x="663"/>
        <item x="450"/>
        <item x="876"/>
        <item x="909"/>
        <item x="231"/>
        <item x="65"/>
        <item x="511"/>
        <item x="426"/>
        <item x="849"/>
        <item x="241"/>
        <item x="429"/>
        <item x="882"/>
        <item x="489"/>
        <item x="700"/>
        <item x="218"/>
        <item x="701"/>
        <item x="732"/>
        <item x="814"/>
        <item x="829"/>
        <item x="764"/>
        <item x="273"/>
        <item x="517"/>
        <item x="955"/>
        <item x="209"/>
        <item x="752"/>
        <item x="418"/>
        <item x="722"/>
        <item x="550"/>
        <item x="431"/>
        <item x="672"/>
        <item x="520"/>
        <item x="136"/>
        <item x="368"/>
        <item x="612"/>
        <item x="830"/>
        <item x="717"/>
        <item x="354"/>
        <item x="240"/>
        <item x="671"/>
        <item x="734"/>
        <item x="604"/>
        <item x="88"/>
        <item x="884"/>
        <item x="763"/>
        <item x="347"/>
        <item x="279"/>
        <item x="677"/>
        <item x="847"/>
        <item x="916"/>
        <item x="350"/>
        <item x="912"/>
        <item x="853"/>
        <item x="272"/>
        <item x="117"/>
        <item x="669"/>
        <item x="855"/>
        <item x="70"/>
        <item x="156"/>
        <item x="158"/>
        <item x="720"/>
        <item x="210"/>
        <item x="417"/>
        <item x="522"/>
        <item x="893"/>
        <item x="107"/>
        <item x="644"/>
        <item x="213"/>
        <item x="116"/>
        <item x="854"/>
        <item x="1"/>
        <item x="690"/>
        <item x="39"/>
        <item x="299"/>
        <item x="130"/>
        <item x="548"/>
        <item x="7"/>
        <item x="432"/>
        <item x="5"/>
        <item x="216"/>
        <item x="424"/>
        <item x="900"/>
        <item x="54"/>
        <item x="691"/>
        <item x="64"/>
        <item x="696"/>
        <item x="248"/>
        <item x="721"/>
        <item x="848"/>
        <item x="974"/>
        <item x="753"/>
        <item x="40"/>
        <item x="355"/>
        <item x="551"/>
        <item x="358"/>
        <item x="238"/>
        <item x="704"/>
        <item x="53"/>
        <item x="102"/>
        <item x="543"/>
        <item x="490"/>
        <item x="508"/>
        <item x="639"/>
        <item x="781"/>
        <item x="730"/>
        <item x="766"/>
        <item x="4"/>
        <item x="837"/>
        <item x="155"/>
        <item x="899"/>
        <item x="494"/>
        <item x="609"/>
        <item x="712"/>
        <item x="519"/>
        <item x="46"/>
        <item x="718"/>
        <item x="968"/>
        <item x="762"/>
        <item x="613"/>
        <item x="857"/>
        <item x="480"/>
        <item x="59"/>
        <item x="611"/>
        <item x="523"/>
        <item x="425"/>
        <item x="843"/>
        <item x="635"/>
        <item x="836"/>
        <item x="452"/>
        <item x="852"/>
        <item x="969"/>
        <item x="456"/>
        <item x="89"/>
        <item x="274"/>
        <item x="244"/>
        <item x="683"/>
        <item x="269"/>
        <item x="410"/>
        <item x="110"/>
        <item x="217"/>
        <item x="878"/>
        <item x="614"/>
        <item x="366"/>
        <item x="47"/>
        <item x="634"/>
        <item x="883"/>
        <item x="976"/>
        <item x="544"/>
        <item x="348"/>
        <item x="975"/>
        <item x="767"/>
        <item x="885"/>
        <item x="103"/>
        <item x="280"/>
        <item x="697"/>
        <item x="235"/>
        <item x="684"/>
        <item x="705"/>
        <item x="501"/>
        <item x="610"/>
        <item x="486"/>
        <item x="606"/>
        <item x="858"/>
        <item x="906"/>
        <item x="495"/>
        <item x="670"/>
        <item x="159"/>
        <item x="723"/>
        <item x="641"/>
        <item x="74"/>
        <item x="879"/>
        <item x="759"/>
        <item x="460"/>
        <item x="886"/>
        <item x="640"/>
        <item x="222"/>
        <item x="502"/>
        <item x="137"/>
        <item x="509"/>
        <item x="844"/>
        <item x="411"/>
        <item x="154"/>
        <item x="144"/>
        <item x="131"/>
        <item x="698"/>
        <item x="221"/>
        <item x="518"/>
        <item x="642"/>
        <item x="236"/>
        <item x="914"/>
        <item x="850"/>
        <item x="153"/>
        <item x="453"/>
        <item x="607"/>
        <item x="907"/>
        <item x="488"/>
        <item x="247"/>
        <item x="109"/>
        <item x="67"/>
        <item x="165"/>
        <item x="246"/>
        <item x="276"/>
        <item x="515"/>
        <item x="228"/>
        <item x="166"/>
        <item x="62"/>
        <item x="913"/>
        <item x="359"/>
        <item x="481"/>
        <item x="138"/>
        <item x="457"/>
        <item x="487"/>
        <item x="249"/>
        <item x="151"/>
        <item x="459"/>
        <item x="760"/>
        <item x="207"/>
        <item x="75"/>
        <item x="277"/>
        <item x="68"/>
        <item x="63"/>
        <item x="229"/>
        <item x="516"/>
        <item x="250"/>
        <item x="851"/>
        <item x="208"/>
        <item x="270"/>
        <item x="145"/>
        <item x="242"/>
        <item x="275"/>
        <item x="245"/>
        <item x="152"/>
        <item x="214"/>
        <item x="108"/>
        <item x="271"/>
        <item x="215"/>
        <item x="278"/>
        <item x="60"/>
        <item x="458"/>
        <item x="243"/>
        <item x="61"/>
        <item t="default"/>
      </items>
    </pivotField>
    <pivotField showAll="0"/>
    <pivotField showAll="0"/>
    <pivotField showAll="0">
      <items count="5">
        <item x="0"/>
        <item x="1"/>
        <item x="2"/>
        <item x="3"/>
        <item t="default"/>
      </items>
    </pivotField>
    <pivotField showAll="0"/>
    <pivotField showAll="0">
      <items count="13">
        <item x="1"/>
        <item x="2"/>
        <item x="3"/>
        <item x="4"/>
        <item x="5"/>
        <item x="6"/>
        <item x="7"/>
        <item x="8"/>
        <item x="9"/>
        <item x="10"/>
        <item x="11"/>
        <item x="0"/>
        <item t="default"/>
      </items>
    </pivotField>
    <pivotField showAll="0"/>
    <pivotField showAll="0"/>
    <pivotField showAll="0">
      <items count="8">
        <item x="6"/>
        <item x="0"/>
        <item x="1"/>
        <item x="2"/>
        <item x="3"/>
        <item x="4"/>
        <item x="5"/>
        <item t="default"/>
      </items>
    </pivotField>
    <pivotField showAll="0"/>
    <pivotField dataField="1" showAll="0"/>
    <pivotField showAll="0"/>
    <pivotField showAll="0"/>
    <pivotField showAll="0"/>
  </pivotFields>
  <rowItems count="1">
    <i/>
  </rowItems>
  <colFields count="1">
    <field x="-2"/>
  </colFields>
  <colItems count="2">
    <i>
      <x/>
    </i>
    <i i="1">
      <x v="1"/>
    </i>
  </colItems>
  <dataFields count="2">
    <dataField name="Sum of gross_profit" fld="11" baseField="0" baseItem="0" numFmtId="165"/>
    <dataField name="Sum of sales" fld="1" baseField="0" baseItem="0"/>
  </dataFields>
  <formats count="3">
    <format dxfId="20">
      <pivotArea type="all" dataOnly="0" outline="0" fieldPosition="0"/>
    </format>
    <format dxfId="19">
      <pivotArea outline="0" collapsedLevelsAreSubtotals="1" fieldPosition="0"/>
    </format>
    <format dxfId="18">
      <pivotArea dataOnly="0" labelOnly="1" outline="0" axis="axisValues" fieldPosition="0"/>
    </format>
  </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9C78973-FBC7-4FC2-897C-BC9869DD3616}" name="PivotTable1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A125:B166" firstHeaderRow="1" firstDataRow="1" firstDataCol="1"/>
  <pivotFields count="15">
    <pivotField numFmtId="164" showAll="0">
      <items count="10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showAll="0"/>
    <pivotField showAll="0"/>
    <pivotField showAll="0"/>
    <pivotField axis="axisRow" showAll="0">
      <items count="5">
        <item x="0"/>
        <item x="1"/>
        <item x="2"/>
        <item x="3"/>
        <item t="default"/>
      </items>
    </pivotField>
    <pivotField showAll="0"/>
    <pivotField axis="axisRow" showAll="0">
      <items count="13">
        <item x="1"/>
        <item x="2"/>
        <item x="3"/>
        <item x="4"/>
        <item x="5"/>
        <item x="6"/>
        <item x="7"/>
        <item x="8"/>
        <item x="9"/>
        <item x="10"/>
        <item x="11"/>
        <item x="0"/>
        <item t="default"/>
      </items>
    </pivotField>
    <pivotField showAll="0"/>
    <pivotField showAll="0"/>
    <pivotField showAll="0">
      <items count="8">
        <item x="0"/>
        <item x="1"/>
        <item x="2"/>
        <item x="3"/>
        <item x="4"/>
        <item x="5"/>
        <item x="6"/>
        <item t="default"/>
      </items>
    </pivotField>
    <pivotField showAll="0"/>
    <pivotField dataField="1" showAll="0"/>
    <pivotField showAll="0"/>
    <pivotField showAll="0"/>
    <pivotField showAll="0"/>
  </pivotFields>
  <rowFields count="2">
    <field x="4"/>
    <field x="6"/>
  </rowFields>
  <rowItems count="41">
    <i>
      <x/>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t="grand">
      <x/>
    </i>
  </rowItems>
  <colItems count="1">
    <i/>
  </colItems>
  <dataFields count="1">
    <dataField name="Sum of gross_profit" fld="11" baseField="0" baseItem="0"/>
  </dataFields>
  <chartFormats count="2">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A78C417-94B1-4998-8261-FB606F81F7A4}" sourceName="year">
  <pivotTables>
    <pivotTable tabId="2" name="PivotTable20"/>
    <pivotTable tabId="2" name="PivotTable1"/>
    <pivotTable tabId="2" name="PivotTable10"/>
    <pivotTable tabId="2" name="PivotTable13"/>
    <pivotTable tabId="2" name="PivotTable15"/>
    <pivotTable tabId="2" name="PivotTable17"/>
    <pivotTable tabId="2" name="PivotTable19"/>
    <pivotTable tabId="2" name="PivotTable2"/>
    <pivotTable tabId="2" name="PivotTable3"/>
    <pivotTable tabId="2" name="PivotTable4"/>
    <pivotTable tabId="2" name="PivotTable5"/>
    <pivotTable tabId="2" name="PivotTable7"/>
    <pivotTable tabId="2" name="PivotTable8"/>
    <pivotTable tabId="2" name="PivotTable9"/>
  </pivotTables>
  <data>
    <tabular pivotCacheId="1885005804">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9A86AC7-CCC4-4877-934F-7EB86EA36716}" sourceName="month">
  <pivotTables>
    <pivotTable tabId="2" name="PivotTable20"/>
    <pivotTable tabId="2" name="PivotTable1"/>
    <pivotTable tabId="2" name="PivotTable10"/>
    <pivotTable tabId="2" name="PivotTable13"/>
    <pivotTable tabId="2" name="PivotTable15"/>
    <pivotTable tabId="2" name="PivotTable17"/>
    <pivotTable tabId="2" name="PivotTable19"/>
    <pivotTable tabId="2" name="PivotTable2"/>
    <pivotTable tabId="2" name="PivotTable3"/>
    <pivotTable tabId="2" name="PivotTable4"/>
    <pivotTable tabId="2" name="PivotTable5"/>
    <pivotTable tabId="2" name="PivotTable7"/>
    <pivotTable tabId="2" name="PivotTable8"/>
    <pivotTable tabId="2" name="PivotTable9"/>
  </pivotTables>
  <data>
    <tabular pivotCacheId="1885005804">
      <items count="12">
        <i x="1" s="1"/>
        <i x="2" s="1"/>
        <i x="3" s="1"/>
        <i x="4" s="1"/>
        <i x="5" s="1"/>
        <i x="6" s="1"/>
        <i x="7" s="1"/>
        <i x="8" s="1"/>
        <i x="9" s="1"/>
        <i x="10" s="1"/>
        <i x="1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of_week" xr10:uid="{B4DF12AD-EE38-4ABA-AA61-990BF144FBAE}" sourceName="day_of_week">
  <pivotTables>
    <pivotTable tabId="2" name="PivotTable20"/>
    <pivotTable tabId="2" name="PivotTable1"/>
    <pivotTable tabId="2" name="PivotTable10"/>
    <pivotTable tabId="2" name="PivotTable13"/>
    <pivotTable tabId="2" name="PivotTable15"/>
    <pivotTable tabId="2" name="PivotTable17"/>
    <pivotTable tabId="2" name="PivotTable19"/>
    <pivotTable tabId="2" name="PivotTable2"/>
    <pivotTable tabId="2" name="PivotTable3"/>
    <pivotTable tabId="2" name="PivotTable4"/>
    <pivotTable tabId="2" name="PivotTable5"/>
    <pivotTable tabId="2" name="PivotTable7"/>
    <pivotTable tabId="2" name="PivotTable8"/>
    <pivotTable tabId="2" name="PivotTable9"/>
  </pivotTables>
  <data>
    <tabular pivotCacheId="1885005804">
      <items count="7">
        <i x="6" s="1"/>
        <i x="0" s="1"/>
        <i x="1" s="1"/>
        <i x="2" s="1"/>
        <i x="3"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C86FA7BF-A829-40C6-BEB4-0B29A28632F8}" cache="Slicer_year" caption="year" style="SlicerStyleDark1" rowHeight="260350"/>
  <slicer name="month" xr10:uid="{06126B56-5E78-4184-98D2-B3BCF2ADE9EC}" cache="Slicer_month" caption="month" startItem="4" rowHeight="260350"/>
  <slicer name="day_of_week" xr10:uid="{7F06DF70-D765-4F18-A9F7-65E051E16304}" cache="Slicer_day_of_week" caption="day_of_week" style="SlicerStyleDark1 2"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ABB3C215-5E4C-4C27-8E52-93F016B669AC}" cache="Slicer_year" caption="YEAR" style="SlicerStyleDark1 2" rowHeight="260350"/>
  <slicer name="month 1" xr10:uid="{9918454C-B09B-4CEF-A4C4-BBE97F9A230D}" cache="Slicer_month" caption="month" style="SlicerStyleDark1 2" rowHeight="260350"/>
  <slicer name="day_of_week 1" xr10:uid="{EA3C5DC8-5436-499E-A277-F114AEE5241E}" cache="Slicer_day_of_week" caption="day_of_week" style="SlicerStyleDark1 2"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B35A743C-AED7-4432-A2A8-B61AF4BD1D89}" cache="Slicer_year" caption="YEAR" style="SlicerStyleDark1 2" rowHeight="260350"/>
  <slicer name="month 2" xr10:uid="{8946F324-CBF3-45EF-BC5A-E3D057C245C5}" cache="Slicer_month" caption="month" style="SlicerStyleDark1 2" rowHeight="260350"/>
  <slicer name="day_of_week 2" xr10:uid="{11C7C26B-2FAA-4FA5-88F3-BC63FAA103EE}" cache="Slicer_day_of_week" caption="day_of_week" style="SlicerStyleDark1 2"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D29008-A373-427F-BBBA-F8E21C68C028}" name="Table1" displayName="Table1" ref="A1:O1054" totalsRowShown="0">
  <autoFilter ref="A1:O1054" xr:uid="{68D29008-A373-427F-BBBA-F8E21C68C028}"/>
  <tableColumns count="15">
    <tableColumn id="1" xr3:uid="{4BF3BC7D-B716-4A5E-BCA2-5E628182B9B9}" name="sales_date" dataDxfId="21"/>
    <tableColumn id="2" xr3:uid="{CF20A427-F9E8-4DA0-B127-908EEA2FBE15}" name="sales"/>
    <tableColumn id="3" xr3:uid="{45A4DC12-F3E2-445C-B066-B7A84BCB09B1}" name="cost_of_sales"/>
    <tableColumn id="4" xr3:uid="{B30315A7-6707-48B8-9807-0AB8096FB4CA}" name="quantity_sold"/>
    <tableColumn id="5" xr3:uid="{26B79163-028A-434C-A3C3-607C6FB172E7}" name="year"/>
    <tableColumn id="6" xr3:uid="{6A63D615-4395-4EB2-8977-D970A355EA11}" name="month_number"/>
    <tableColumn id="7" xr3:uid="{C14C906F-3A36-4939-8A9A-2CA83A99844E}" name="month"/>
    <tableColumn id="8" xr3:uid="{CE97D6FC-D12A-4949-96D9-DCD0816E1B5C}" name="quarter"/>
    <tableColumn id="9" xr3:uid="{1C284C2A-9110-4595-8B8C-671843C667F5}" name="day"/>
    <tableColumn id="10" xr3:uid="{79A16670-EBC5-4180-8352-E1CD030BB24E}" name="day_of_week"/>
    <tableColumn id="11" xr3:uid="{2936050B-AE86-4A53-8638-A1206E9AA8BD}" name="sales_price_per_unit"/>
    <tableColumn id="12" xr3:uid="{8209916C-5272-4C6B-A9BD-60055330F7B1}" name="gross_profit"/>
    <tableColumn id="13" xr3:uid="{784AB71C-A72C-4451-92F3-569383AF8C48}" name="gross_profit_per_unit"/>
    <tableColumn id="14" xr3:uid="{4EE93BD3-C003-4B84-AD75-C474291F0F70}" name="gross_profit_percentage"/>
    <tableColumn id="15" xr3:uid="{130F87E0-24A2-4F30-9B5B-0C62FD1E1A06}" name="gross_profit_percentage_per_uni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rinterSettings" Target="../printerSettings/printerSettings1.bin"/><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54"/>
  <sheetViews>
    <sheetView workbookViewId="0">
      <selection activeCell="C22" sqref="C22"/>
    </sheetView>
  </sheetViews>
  <sheetFormatPr defaultRowHeight="15.6" x14ac:dyDescent="0.3"/>
  <cols>
    <col min="1" max="1" width="13.19921875" customWidth="1"/>
    <col min="3" max="3" width="13.796875" customWidth="1"/>
    <col min="4" max="4" width="14.19921875" customWidth="1"/>
    <col min="6" max="6" width="15.796875" customWidth="1"/>
    <col min="8" max="8" width="8.8984375" customWidth="1"/>
    <col min="10" max="10" width="13.796875" customWidth="1"/>
    <col min="11" max="11" width="20" customWidth="1"/>
    <col min="12" max="12" width="12.59765625" customWidth="1"/>
    <col min="13" max="13" width="20.796875" customWidth="1"/>
    <col min="14" max="14" width="22.8984375" customWidth="1"/>
    <col min="15" max="15" width="31.09765625"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s="1">
        <v>41638</v>
      </c>
      <c r="B2">
        <v>223938</v>
      </c>
      <c r="C2">
        <v>230080</v>
      </c>
      <c r="D2">
        <v>6827</v>
      </c>
      <c r="E2">
        <v>2013</v>
      </c>
      <c r="F2">
        <v>12</v>
      </c>
      <c r="G2" t="s">
        <v>15</v>
      </c>
      <c r="H2">
        <v>4</v>
      </c>
      <c r="I2">
        <v>30</v>
      </c>
      <c r="J2" t="s">
        <v>16</v>
      </c>
      <c r="K2">
        <v>33</v>
      </c>
      <c r="L2">
        <v>-6142</v>
      </c>
      <c r="M2">
        <v>-1</v>
      </c>
      <c r="N2">
        <v>-3</v>
      </c>
      <c r="O2">
        <v>-3</v>
      </c>
    </row>
    <row r="3" spans="1:15" x14ac:dyDescent="0.3">
      <c r="A3" s="1">
        <v>41639</v>
      </c>
      <c r="B3">
        <v>300345</v>
      </c>
      <c r="C3">
        <v>306986</v>
      </c>
      <c r="D3">
        <v>9268</v>
      </c>
      <c r="E3">
        <v>2013</v>
      </c>
      <c r="F3">
        <v>12</v>
      </c>
      <c r="G3" t="s">
        <v>15</v>
      </c>
      <c r="H3">
        <v>4</v>
      </c>
      <c r="I3">
        <v>31</v>
      </c>
      <c r="J3" t="s">
        <v>17</v>
      </c>
      <c r="K3">
        <v>32</v>
      </c>
      <c r="L3">
        <v>-6641</v>
      </c>
      <c r="M3">
        <v>-1</v>
      </c>
      <c r="N3">
        <v>-2</v>
      </c>
      <c r="O3">
        <v>-2</v>
      </c>
    </row>
    <row r="4" spans="1:15" x14ac:dyDescent="0.3">
      <c r="A4" s="1">
        <v>41640</v>
      </c>
      <c r="B4">
        <v>86782</v>
      </c>
      <c r="C4">
        <v>87986</v>
      </c>
      <c r="D4">
        <v>2678</v>
      </c>
      <c r="E4">
        <v>2014</v>
      </c>
      <c r="F4">
        <v>1</v>
      </c>
      <c r="G4" t="s">
        <v>18</v>
      </c>
      <c r="H4">
        <v>1</v>
      </c>
      <c r="I4">
        <v>1</v>
      </c>
      <c r="J4" t="s">
        <v>19</v>
      </c>
      <c r="K4">
        <v>32</v>
      </c>
      <c r="L4">
        <v>-1204</v>
      </c>
      <c r="M4">
        <v>0</v>
      </c>
      <c r="N4">
        <v>-1</v>
      </c>
      <c r="O4">
        <v>-1</v>
      </c>
    </row>
    <row r="5" spans="1:15" x14ac:dyDescent="0.3">
      <c r="A5" s="1">
        <v>41641</v>
      </c>
      <c r="B5">
        <v>200173</v>
      </c>
      <c r="C5">
        <v>202881</v>
      </c>
      <c r="D5">
        <v>6175</v>
      </c>
      <c r="E5">
        <v>2014</v>
      </c>
      <c r="F5">
        <v>1</v>
      </c>
      <c r="G5" t="s">
        <v>18</v>
      </c>
      <c r="H5">
        <v>1</v>
      </c>
      <c r="I5">
        <v>2</v>
      </c>
      <c r="J5" t="s">
        <v>20</v>
      </c>
      <c r="K5">
        <v>32</v>
      </c>
      <c r="L5">
        <v>-2708</v>
      </c>
      <c r="M5">
        <v>0</v>
      </c>
      <c r="N5">
        <v>-1</v>
      </c>
      <c r="O5">
        <v>-1</v>
      </c>
    </row>
    <row r="6" spans="1:15" x14ac:dyDescent="0.3">
      <c r="A6" s="1">
        <v>41642</v>
      </c>
      <c r="B6">
        <v>326906</v>
      </c>
      <c r="C6">
        <v>333806</v>
      </c>
      <c r="D6">
        <v>10084</v>
      </c>
      <c r="E6">
        <v>2014</v>
      </c>
      <c r="F6">
        <v>1</v>
      </c>
      <c r="G6" t="s">
        <v>18</v>
      </c>
      <c r="H6">
        <v>1</v>
      </c>
      <c r="I6">
        <v>3</v>
      </c>
      <c r="J6" t="s">
        <v>21</v>
      </c>
      <c r="K6">
        <v>32</v>
      </c>
      <c r="L6">
        <v>-6900</v>
      </c>
      <c r="M6">
        <v>-1</v>
      </c>
      <c r="N6">
        <v>-2</v>
      </c>
      <c r="O6">
        <v>-2</v>
      </c>
    </row>
    <row r="7" spans="1:15" x14ac:dyDescent="0.3">
      <c r="A7" s="1">
        <v>41643</v>
      </c>
      <c r="B7">
        <v>307044</v>
      </c>
      <c r="C7">
        <v>313652</v>
      </c>
      <c r="D7">
        <v>9470</v>
      </c>
      <c r="E7">
        <v>2014</v>
      </c>
      <c r="F7">
        <v>1</v>
      </c>
      <c r="G7" t="s">
        <v>18</v>
      </c>
      <c r="H7">
        <v>1</v>
      </c>
      <c r="I7">
        <v>4</v>
      </c>
      <c r="J7" t="s">
        <v>22</v>
      </c>
      <c r="K7">
        <v>32</v>
      </c>
      <c r="L7">
        <v>-6608</v>
      </c>
      <c r="M7">
        <v>-1</v>
      </c>
      <c r="N7">
        <v>-2</v>
      </c>
      <c r="O7">
        <v>-2</v>
      </c>
    </row>
    <row r="8" spans="1:15" x14ac:dyDescent="0.3">
      <c r="A8" s="1">
        <v>41644</v>
      </c>
      <c r="B8">
        <v>179189</v>
      </c>
      <c r="C8">
        <v>183083</v>
      </c>
      <c r="D8">
        <v>5524</v>
      </c>
      <c r="E8">
        <v>2014</v>
      </c>
      <c r="F8">
        <v>1</v>
      </c>
      <c r="G8" t="s">
        <v>18</v>
      </c>
      <c r="H8">
        <v>1</v>
      </c>
      <c r="I8">
        <v>5</v>
      </c>
      <c r="J8" t="s">
        <v>23</v>
      </c>
      <c r="K8">
        <v>32</v>
      </c>
      <c r="L8">
        <v>-3894</v>
      </c>
      <c r="M8">
        <v>-1</v>
      </c>
      <c r="N8">
        <v>-2</v>
      </c>
      <c r="O8">
        <v>-2</v>
      </c>
    </row>
    <row r="9" spans="1:15" x14ac:dyDescent="0.3">
      <c r="A9" s="1">
        <v>41645</v>
      </c>
      <c r="B9">
        <v>306352</v>
      </c>
      <c r="C9">
        <v>313446</v>
      </c>
      <c r="D9">
        <v>9448</v>
      </c>
      <c r="E9">
        <v>2014</v>
      </c>
      <c r="F9">
        <v>1</v>
      </c>
      <c r="G9" t="s">
        <v>18</v>
      </c>
      <c r="H9">
        <v>1</v>
      </c>
      <c r="I9">
        <v>6</v>
      </c>
      <c r="J9" t="s">
        <v>16</v>
      </c>
      <c r="K9">
        <v>32</v>
      </c>
      <c r="L9">
        <v>-7094</v>
      </c>
      <c r="M9">
        <v>-1</v>
      </c>
      <c r="N9">
        <v>-2</v>
      </c>
      <c r="O9">
        <v>-2</v>
      </c>
    </row>
    <row r="10" spans="1:15" x14ac:dyDescent="0.3">
      <c r="A10" s="1">
        <v>41646</v>
      </c>
      <c r="B10">
        <v>224020</v>
      </c>
      <c r="C10">
        <v>229534</v>
      </c>
      <c r="D10">
        <v>6911</v>
      </c>
      <c r="E10">
        <v>2014</v>
      </c>
      <c r="F10">
        <v>1</v>
      </c>
      <c r="G10" t="s">
        <v>18</v>
      </c>
      <c r="H10">
        <v>1</v>
      </c>
      <c r="I10">
        <v>7</v>
      </c>
      <c r="J10" t="s">
        <v>17</v>
      </c>
      <c r="K10">
        <v>32</v>
      </c>
      <c r="L10">
        <v>-5514</v>
      </c>
      <c r="M10">
        <v>-1</v>
      </c>
      <c r="N10">
        <v>-2</v>
      </c>
      <c r="O10">
        <v>-2</v>
      </c>
    </row>
    <row r="11" spans="1:15" x14ac:dyDescent="0.3">
      <c r="A11" s="1">
        <v>41647</v>
      </c>
      <c r="B11">
        <v>101836</v>
      </c>
      <c r="C11">
        <v>99382</v>
      </c>
      <c r="D11">
        <v>2990</v>
      </c>
      <c r="E11">
        <v>2014</v>
      </c>
      <c r="F11">
        <v>1</v>
      </c>
      <c r="G11" t="s">
        <v>18</v>
      </c>
      <c r="H11">
        <v>1</v>
      </c>
      <c r="I11">
        <v>8</v>
      </c>
      <c r="J11" t="s">
        <v>19</v>
      </c>
      <c r="K11">
        <v>34</v>
      </c>
      <c r="L11">
        <v>2454</v>
      </c>
      <c r="M11">
        <v>1</v>
      </c>
      <c r="N11">
        <v>2</v>
      </c>
      <c r="O11">
        <v>2</v>
      </c>
    </row>
    <row r="12" spans="1:15" x14ac:dyDescent="0.3">
      <c r="A12" s="1">
        <v>41648</v>
      </c>
      <c r="B12">
        <v>107804</v>
      </c>
      <c r="C12">
        <v>104816</v>
      </c>
      <c r="D12">
        <v>3159</v>
      </c>
      <c r="E12">
        <v>2014</v>
      </c>
      <c r="F12">
        <v>1</v>
      </c>
      <c r="G12" t="s">
        <v>18</v>
      </c>
      <c r="H12">
        <v>1</v>
      </c>
      <c r="I12">
        <v>9</v>
      </c>
      <c r="J12" t="s">
        <v>20</v>
      </c>
      <c r="K12">
        <v>34</v>
      </c>
      <c r="L12">
        <v>2988</v>
      </c>
      <c r="M12">
        <v>1</v>
      </c>
      <c r="N12">
        <v>3</v>
      </c>
      <c r="O12">
        <v>3</v>
      </c>
    </row>
    <row r="13" spans="1:15" x14ac:dyDescent="0.3">
      <c r="A13" s="1">
        <v>41649</v>
      </c>
      <c r="B13">
        <v>144830</v>
      </c>
      <c r="C13">
        <v>141334</v>
      </c>
      <c r="D13">
        <v>4246</v>
      </c>
      <c r="E13">
        <v>2014</v>
      </c>
      <c r="F13">
        <v>1</v>
      </c>
      <c r="G13" t="s">
        <v>18</v>
      </c>
      <c r="H13">
        <v>1</v>
      </c>
      <c r="I13">
        <v>10</v>
      </c>
      <c r="J13" t="s">
        <v>21</v>
      </c>
      <c r="K13">
        <v>34</v>
      </c>
      <c r="L13">
        <v>3496</v>
      </c>
      <c r="M13">
        <v>1</v>
      </c>
      <c r="N13">
        <v>2</v>
      </c>
      <c r="O13">
        <v>2</v>
      </c>
    </row>
    <row r="14" spans="1:15" x14ac:dyDescent="0.3">
      <c r="A14" s="1">
        <v>41650</v>
      </c>
      <c r="B14">
        <v>146571</v>
      </c>
      <c r="C14">
        <v>143180</v>
      </c>
      <c r="D14">
        <v>4297</v>
      </c>
      <c r="E14">
        <v>2014</v>
      </c>
      <c r="F14">
        <v>1</v>
      </c>
      <c r="G14" t="s">
        <v>18</v>
      </c>
      <c r="H14">
        <v>1</v>
      </c>
      <c r="I14">
        <v>11</v>
      </c>
      <c r="J14" t="s">
        <v>22</v>
      </c>
      <c r="K14">
        <v>34</v>
      </c>
      <c r="L14">
        <v>3392</v>
      </c>
      <c r="M14">
        <v>1</v>
      </c>
      <c r="N14">
        <v>2</v>
      </c>
      <c r="O14">
        <v>2</v>
      </c>
    </row>
    <row r="15" spans="1:15" x14ac:dyDescent="0.3">
      <c r="A15" s="1">
        <v>41651</v>
      </c>
      <c r="B15">
        <v>95422</v>
      </c>
      <c r="C15">
        <v>93126</v>
      </c>
      <c r="D15">
        <v>2796</v>
      </c>
      <c r="E15">
        <v>2014</v>
      </c>
      <c r="F15">
        <v>1</v>
      </c>
      <c r="G15" t="s">
        <v>18</v>
      </c>
      <c r="H15">
        <v>1</v>
      </c>
      <c r="I15">
        <v>12</v>
      </c>
      <c r="J15" t="s">
        <v>23</v>
      </c>
      <c r="K15">
        <v>34</v>
      </c>
      <c r="L15">
        <v>2296</v>
      </c>
      <c r="M15">
        <v>1</v>
      </c>
      <c r="N15">
        <v>2</v>
      </c>
      <c r="O15">
        <v>2</v>
      </c>
    </row>
    <row r="16" spans="1:15" x14ac:dyDescent="0.3">
      <c r="A16" s="1">
        <v>41652</v>
      </c>
      <c r="B16">
        <v>114883</v>
      </c>
      <c r="C16">
        <v>112186</v>
      </c>
      <c r="D16">
        <v>3369</v>
      </c>
      <c r="E16">
        <v>2014</v>
      </c>
      <c r="F16">
        <v>1</v>
      </c>
      <c r="G16" t="s">
        <v>18</v>
      </c>
      <c r="H16">
        <v>1</v>
      </c>
      <c r="I16">
        <v>13</v>
      </c>
      <c r="J16" t="s">
        <v>16</v>
      </c>
      <c r="K16">
        <v>34</v>
      </c>
      <c r="L16">
        <v>2697</v>
      </c>
      <c r="M16">
        <v>1</v>
      </c>
      <c r="N16">
        <v>2</v>
      </c>
      <c r="O16">
        <v>2</v>
      </c>
    </row>
    <row r="17" spans="1:15" x14ac:dyDescent="0.3">
      <c r="A17" s="1">
        <v>41653</v>
      </c>
      <c r="B17">
        <v>80091</v>
      </c>
      <c r="C17">
        <v>78097</v>
      </c>
      <c r="D17">
        <v>2348</v>
      </c>
      <c r="E17">
        <v>2014</v>
      </c>
      <c r="F17">
        <v>1</v>
      </c>
      <c r="G17" t="s">
        <v>18</v>
      </c>
      <c r="H17">
        <v>1</v>
      </c>
      <c r="I17">
        <v>14</v>
      </c>
      <c r="J17" t="s">
        <v>17</v>
      </c>
      <c r="K17">
        <v>34</v>
      </c>
      <c r="L17">
        <v>1994</v>
      </c>
      <c r="M17">
        <v>1</v>
      </c>
      <c r="N17">
        <v>2</v>
      </c>
      <c r="O17">
        <v>2</v>
      </c>
    </row>
    <row r="18" spans="1:15" x14ac:dyDescent="0.3">
      <c r="A18" s="1">
        <v>41654</v>
      </c>
      <c r="B18">
        <v>98945</v>
      </c>
      <c r="C18">
        <v>97159</v>
      </c>
      <c r="D18">
        <v>2903</v>
      </c>
      <c r="E18">
        <v>2014</v>
      </c>
      <c r="F18">
        <v>1</v>
      </c>
      <c r="G18" t="s">
        <v>18</v>
      </c>
      <c r="H18">
        <v>1</v>
      </c>
      <c r="I18">
        <v>15</v>
      </c>
      <c r="J18" t="s">
        <v>19</v>
      </c>
      <c r="K18">
        <v>34</v>
      </c>
      <c r="L18">
        <v>1786</v>
      </c>
      <c r="M18">
        <v>1</v>
      </c>
      <c r="N18">
        <v>2</v>
      </c>
      <c r="O18">
        <v>2</v>
      </c>
    </row>
    <row r="19" spans="1:15" x14ac:dyDescent="0.3">
      <c r="A19" s="1">
        <v>41655</v>
      </c>
      <c r="B19">
        <v>84905</v>
      </c>
      <c r="C19">
        <v>83350</v>
      </c>
      <c r="D19">
        <v>2491</v>
      </c>
      <c r="E19">
        <v>2014</v>
      </c>
      <c r="F19">
        <v>1</v>
      </c>
      <c r="G19" t="s">
        <v>18</v>
      </c>
      <c r="H19">
        <v>1</v>
      </c>
      <c r="I19">
        <v>16</v>
      </c>
      <c r="J19" t="s">
        <v>20</v>
      </c>
      <c r="K19">
        <v>34</v>
      </c>
      <c r="L19">
        <v>1554</v>
      </c>
      <c r="M19">
        <v>1</v>
      </c>
      <c r="N19">
        <v>2</v>
      </c>
      <c r="O19">
        <v>2</v>
      </c>
    </row>
    <row r="20" spans="1:15" x14ac:dyDescent="0.3">
      <c r="A20" s="1">
        <v>41656</v>
      </c>
      <c r="B20">
        <v>135461</v>
      </c>
      <c r="C20">
        <v>132703</v>
      </c>
      <c r="D20">
        <v>3968</v>
      </c>
      <c r="E20">
        <v>2014</v>
      </c>
      <c r="F20">
        <v>1</v>
      </c>
      <c r="G20" t="s">
        <v>18</v>
      </c>
      <c r="H20">
        <v>1</v>
      </c>
      <c r="I20">
        <v>17</v>
      </c>
      <c r="J20" t="s">
        <v>21</v>
      </c>
      <c r="K20">
        <v>34</v>
      </c>
      <c r="L20">
        <v>2757</v>
      </c>
      <c r="M20">
        <v>1</v>
      </c>
      <c r="N20">
        <v>2</v>
      </c>
      <c r="O20">
        <v>2</v>
      </c>
    </row>
    <row r="21" spans="1:15" x14ac:dyDescent="0.3">
      <c r="A21" s="1">
        <v>41657</v>
      </c>
      <c r="B21">
        <v>149926</v>
      </c>
      <c r="C21">
        <v>146928</v>
      </c>
      <c r="D21">
        <v>4393</v>
      </c>
      <c r="E21">
        <v>2014</v>
      </c>
      <c r="F21">
        <v>1</v>
      </c>
      <c r="G21" t="s">
        <v>18</v>
      </c>
      <c r="H21">
        <v>1</v>
      </c>
      <c r="I21">
        <v>18</v>
      </c>
      <c r="J21" t="s">
        <v>22</v>
      </c>
      <c r="K21">
        <v>34</v>
      </c>
      <c r="L21">
        <v>2997</v>
      </c>
      <c r="M21">
        <v>1</v>
      </c>
      <c r="N21">
        <v>2</v>
      </c>
      <c r="O21">
        <v>2</v>
      </c>
    </row>
    <row r="22" spans="1:15" x14ac:dyDescent="0.3">
      <c r="A22" s="1">
        <v>41658</v>
      </c>
      <c r="B22">
        <v>74297</v>
      </c>
      <c r="C22">
        <v>72782</v>
      </c>
      <c r="D22">
        <v>2176</v>
      </c>
      <c r="E22">
        <v>2014</v>
      </c>
      <c r="F22">
        <v>1</v>
      </c>
      <c r="G22" t="s">
        <v>18</v>
      </c>
      <c r="H22">
        <v>1</v>
      </c>
      <c r="I22">
        <v>19</v>
      </c>
      <c r="J22" t="s">
        <v>23</v>
      </c>
      <c r="K22">
        <v>34</v>
      </c>
      <c r="L22">
        <v>1515</v>
      </c>
      <c r="M22">
        <v>1</v>
      </c>
      <c r="N22">
        <v>2</v>
      </c>
      <c r="O22">
        <v>2</v>
      </c>
    </row>
    <row r="23" spans="1:15" x14ac:dyDescent="0.3">
      <c r="A23" s="1">
        <v>41659</v>
      </c>
      <c r="B23">
        <v>83356</v>
      </c>
      <c r="C23">
        <v>81789</v>
      </c>
      <c r="D23">
        <v>2443</v>
      </c>
      <c r="E23">
        <v>2014</v>
      </c>
      <c r="F23">
        <v>1</v>
      </c>
      <c r="G23" t="s">
        <v>18</v>
      </c>
      <c r="H23">
        <v>1</v>
      </c>
      <c r="I23">
        <v>20</v>
      </c>
      <c r="J23" t="s">
        <v>16</v>
      </c>
      <c r="K23">
        <v>34</v>
      </c>
      <c r="L23">
        <v>1567</v>
      </c>
      <c r="M23">
        <v>1</v>
      </c>
      <c r="N23">
        <v>2</v>
      </c>
      <c r="O23">
        <v>2</v>
      </c>
    </row>
    <row r="24" spans="1:15" x14ac:dyDescent="0.3">
      <c r="A24" s="1">
        <v>41660</v>
      </c>
      <c r="B24">
        <v>89922</v>
      </c>
      <c r="C24">
        <v>88389</v>
      </c>
      <c r="D24">
        <v>2638</v>
      </c>
      <c r="E24">
        <v>2014</v>
      </c>
      <c r="F24">
        <v>1</v>
      </c>
      <c r="G24" t="s">
        <v>18</v>
      </c>
      <c r="H24">
        <v>1</v>
      </c>
      <c r="I24">
        <v>21</v>
      </c>
      <c r="J24" t="s">
        <v>17</v>
      </c>
      <c r="K24">
        <v>34</v>
      </c>
      <c r="L24">
        <v>1533</v>
      </c>
      <c r="M24">
        <v>1</v>
      </c>
      <c r="N24">
        <v>2</v>
      </c>
      <c r="O24">
        <v>2</v>
      </c>
    </row>
    <row r="25" spans="1:15" x14ac:dyDescent="0.3">
      <c r="A25" s="1">
        <v>41661</v>
      </c>
      <c r="B25">
        <v>57806</v>
      </c>
      <c r="C25">
        <v>57157</v>
      </c>
      <c r="D25">
        <v>1704</v>
      </c>
      <c r="E25">
        <v>2014</v>
      </c>
      <c r="F25">
        <v>1</v>
      </c>
      <c r="G25" t="s">
        <v>18</v>
      </c>
      <c r="H25">
        <v>1</v>
      </c>
      <c r="I25">
        <v>22</v>
      </c>
      <c r="J25" t="s">
        <v>19</v>
      </c>
      <c r="K25">
        <v>34</v>
      </c>
      <c r="L25">
        <v>649</v>
      </c>
      <c r="M25">
        <v>0</v>
      </c>
      <c r="N25">
        <v>1</v>
      </c>
      <c r="O25">
        <v>1</v>
      </c>
    </row>
    <row r="26" spans="1:15" x14ac:dyDescent="0.3">
      <c r="A26" s="1">
        <v>41662</v>
      </c>
      <c r="B26">
        <v>63978</v>
      </c>
      <c r="C26">
        <v>62864</v>
      </c>
      <c r="D26">
        <v>1872</v>
      </c>
      <c r="E26">
        <v>2014</v>
      </c>
      <c r="F26">
        <v>1</v>
      </c>
      <c r="G26" t="s">
        <v>18</v>
      </c>
      <c r="H26">
        <v>1</v>
      </c>
      <c r="I26">
        <v>23</v>
      </c>
      <c r="J26" t="s">
        <v>20</v>
      </c>
      <c r="K26">
        <v>34</v>
      </c>
      <c r="L26">
        <v>1114</v>
      </c>
      <c r="M26">
        <v>1</v>
      </c>
      <c r="N26">
        <v>2</v>
      </c>
      <c r="O26">
        <v>2</v>
      </c>
    </row>
    <row r="27" spans="1:15" x14ac:dyDescent="0.3">
      <c r="A27" s="1">
        <v>41663</v>
      </c>
      <c r="B27">
        <v>116959</v>
      </c>
      <c r="C27">
        <v>114824</v>
      </c>
      <c r="D27">
        <v>3423</v>
      </c>
      <c r="E27">
        <v>2014</v>
      </c>
      <c r="F27">
        <v>1</v>
      </c>
      <c r="G27" t="s">
        <v>18</v>
      </c>
      <c r="H27">
        <v>1</v>
      </c>
      <c r="I27">
        <v>24</v>
      </c>
      <c r="J27" t="s">
        <v>21</v>
      </c>
      <c r="K27">
        <v>34</v>
      </c>
      <c r="L27">
        <v>2135</v>
      </c>
      <c r="M27">
        <v>1</v>
      </c>
      <c r="N27">
        <v>2</v>
      </c>
      <c r="O27">
        <v>2</v>
      </c>
    </row>
    <row r="28" spans="1:15" x14ac:dyDescent="0.3">
      <c r="A28" s="1">
        <v>41664</v>
      </c>
      <c r="B28">
        <v>155273</v>
      </c>
      <c r="C28">
        <v>152636</v>
      </c>
      <c r="D28">
        <v>4544</v>
      </c>
      <c r="E28">
        <v>2014</v>
      </c>
      <c r="F28">
        <v>1</v>
      </c>
      <c r="G28" t="s">
        <v>18</v>
      </c>
      <c r="H28">
        <v>1</v>
      </c>
      <c r="I28">
        <v>25</v>
      </c>
      <c r="J28" t="s">
        <v>22</v>
      </c>
      <c r="K28">
        <v>34</v>
      </c>
      <c r="L28">
        <v>2637</v>
      </c>
      <c r="M28">
        <v>1</v>
      </c>
      <c r="N28">
        <v>2</v>
      </c>
      <c r="O28">
        <v>2</v>
      </c>
    </row>
    <row r="29" spans="1:15" x14ac:dyDescent="0.3">
      <c r="A29" s="1">
        <v>41665</v>
      </c>
      <c r="B29">
        <v>82885</v>
      </c>
      <c r="C29">
        <v>81583</v>
      </c>
      <c r="D29">
        <v>2426</v>
      </c>
      <c r="E29">
        <v>2014</v>
      </c>
      <c r="F29">
        <v>1</v>
      </c>
      <c r="G29" t="s">
        <v>18</v>
      </c>
      <c r="H29">
        <v>1</v>
      </c>
      <c r="I29">
        <v>26</v>
      </c>
      <c r="J29" t="s">
        <v>23</v>
      </c>
      <c r="K29">
        <v>34</v>
      </c>
      <c r="L29">
        <v>1302</v>
      </c>
      <c r="M29">
        <v>1</v>
      </c>
      <c r="N29">
        <v>2</v>
      </c>
      <c r="O29">
        <v>2</v>
      </c>
    </row>
    <row r="30" spans="1:15" x14ac:dyDescent="0.3">
      <c r="A30" s="1">
        <v>41666</v>
      </c>
      <c r="B30">
        <v>72353</v>
      </c>
      <c r="C30">
        <v>71377</v>
      </c>
      <c r="D30">
        <v>2117</v>
      </c>
      <c r="E30">
        <v>2014</v>
      </c>
      <c r="F30">
        <v>1</v>
      </c>
      <c r="G30" t="s">
        <v>18</v>
      </c>
      <c r="H30">
        <v>1</v>
      </c>
      <c r="I30">
        <v>27</v>
      </c>
      <c r="J30" t="s">
        <v>16</v>
      </c>
      <c r="K30">
        <v>34</v>
      </c>
      <c r="L30">
        <v>976</v>
      </c>
      <c r="M30">
        <v>0</v>
      </c>
      <c r="N30">
        <v>1</v>
      </c>
      <c r="O30">
        <v>1</v>
      </c>
    </row>
    <row r="31" spans="1:15" x14ac:dyDescent="0.3">
      <c r="A31" s="1">
        <v>41667</v>
      </c>
      <c r="B31">
        <v>50416</v>
      </c>
      <c r="C31">
        <v>49769</v>
      </c>
      <c r="D31">
        <v>1476</v>
      </c>
      <c r="E31">
        <v>2014</v>
      </c>
      <c r="F31">
        <v>1</v>
      </c>
      <c r="G31" t="s">
        <v>18</v>
      </c>
      <c r="H31">
        <v>1</v>
      </c>
      <c r="I31">
        <v>28</v>
      </c>
      <c r="J31" t="s">
        <v>17</v>
      </c>
      <c r="K31">
        <v>34</v>
      </c>
      <c r="L31">
        <v>647</v>
      </c>
      <c r="M31">
        <v>0</v>
      </c>
      <c r="N31">
        <v>1</v>
      </c>
      <c r="O31">
        <v>1</v>
      </c>
    </row>
    <row r="32" spans="1:15" x14ac:dyDescent="0.3">
      <c r="A32" s="1">
        <v>41668</v>
      </c>
      <c r="B32">
        <v>67458</v>
      </c>
      <c r="C32">
        <v>66529</v>
      </c>
      <c r="D32">
        <v>1974</v>
      </c>
      <c r="E32">
        <v>2014</v>
      </c>
      <c r="F32">
        <v>1</v>
      </c>
      <c r="G32" t="s">
        <v>18</v>
      </c>
      <c r="H32">
        <v>1</v>
      </c>
      <c r="I32">
        <v>29</v>
      </c>
      <c r="J32" t="s">
        <v>19</v>
      </c>
      <c r="K32">
        <v>34</v>
      </c>
      <c r="L32">
        <v>929</v>
      </c>
      <c r="M32">
        <v>0</v>
      </c>
      <c r="N32">
        <v>1</v>
      </c>
      <c r="O32">
        <v>1</v>
      </c>
    </row>
    <row r="33" spans="1:15" x14ac:dyDescent="0.3">
      <c r="A33" s="1">
        <v>41669</v>
      </c>
      <c r="B33">
        <v>64640</v>
      </c>
      <c r="C33">
        <v>63758</v>
      </c>
      <c r="D33">
        <v>1892</v>
      </c>
      <c r="E33">
        <v>2014</v>
      </c>
      <c r="F33">
        <v>1</v>
      </c>
      <c r="G33" t="s">
        <v>18</v>
      </c>
      <c r="H33">
        <v>1</v>
      </c>
      <c r="I33">
        <v>30</v>
      </c>
      <c r="J33" t="s">
        <v>20</v>
      </c>
      <c r="K33">
        <v>34</v>
      </c>
      <c r="L33">
        <v>883</v>
      </c>
      <c r="M33">
        <v>0</v>
      </c>
      <c r="N33">
        <v>1</v>
      </c>
      <c r="O33">
        <v>1</v>
      </c>
    </row>
    <row r="34" spans="1:15" x14ac:dyDescent="0.3">
      <c r="A34" s="1">
        <v>41670</v>
      </c>
      <c r="B34">
        <v>137694</v>
      </c>
      <c r="C34">
        <v>135610</v>
      </c>
      <c r="D34">
        <v>4030</v>
      </c>
      <c r="E34">
        <v>2014</v>
      </c>
      <c r="F34">
        <v>1</v>
      </c>
      <c r="G34" t="s">
        <v>18</v>
      </c>
      <c r="H34">
        <v>1</v>
      </c>
      <c r="I34">
        <v>31</v>
      </c>
      <c r="J34" t="s">
        <v>21</v>
      </c>
      <c r="K34">
        <v>34</v>
      </c>
      <c r="L34">
        <v>2084</v>
      </c>
      <c r="M34">
        <v>1</v>
      </c>
      <c r="N34">
        <v>2</v>
      </c>
      <c r="O34">
        <v>2</v>
      </c>
    </row>
    <row r="35" spans="1:15" x14ac:dyDescent="0.3">
      <c r="A35" s="1">
        <v>41671</v>
      </c>
      <c r="B35">
        <v>181209</v>
      </c>
      <c r="C35">
        <v>178436</v>
      </c>
      <c r="D35">
        <v>5304</v>
      </c>
      <c r="E35">
        <v>2014</v>
      </c>
      <c r="F35">
        <v>2</v>
      </c>
      <c r="G35" t="s">
        <v>24</v>
      </c>
      <c r="H35">
        <v>1</v>
      </c>
      <c r="I35">
        <v>1</v>
      </c>
      <c r="J35" t="s">
        <v>22</v>
      </c>
      <c r="K35">
        <v>34</v>
      </c>
      <c r="L35">
        <v>2773</v>
      </c>
      <c r="M35">
        <v>1</v>
      </c>
      <c r="N35">
        <v>2</v>
      </c>
      <c r="O35">
        <v>2</v>
      </c>
    </row>
    <row r="36" spans="1:15" x14ac:dyDescent="0.3">
      <c r="A36" s="1">
        <v>41672</v>
      </c>
      <c r="B36">
        <v>113434</v>
      </c>
      <c r="C36">
        <v>111467</v>
      </c>
      <c r="D36">
        <v>3320</v>
      </c>
      <c r="E36">
        <v>2014</v>
      </c>
      <c r="F36">
        <v>2</v>
      </c>
      <c r="G36" t="s">
        <v>24</v>
      </c>
      <c r="H36">
        <v>1</v>
      </c>
      <c r="I36">
        <v>2</v>
      </c>
      <c r="J36" t="s">
        <v>23</v>
      </c>
      <c r="K36">
        <v>34</v>
      </c>
      <c r="L36">
        <v>1967</v>
      </c>
      <c r="M36">
        <v>1</v>
      </c>
      <c r="N36">
        <v>2</v>
      </c>
      <c r="O36">
        <v>2</v>
      </c>
    </row>
    <row r="37" spans="1:15" x14ac:dyDescent="0.3">
      <c r="A37" s="1">
        <v>41673</v>
      </c>
      <c r="B37">
        <v>143193</v>
      </c>
      <c r="C37">
        <v>140506</v>
      </c>
      <c r="D37">
        <v>4191</v>
      </c>
      <c r="E37">
        <v>2014</v>
      </c>
      <c r="F37">
        <v>2</v>
      </c>
      <c r="G37" t="s">
        <v>24</v>
      </c>
      <c r="H37">
        <v>1</v>
      </c>
      <c r="I37">
        <v>3</v>
      </c>
      <c r="J37" t="s">
        <v>16</v>
      </c>
      <c r="K37">
        <v>34</v>
      </c>
      <c r="L37">
        <v>2687</v>
      </c>
      <c r="M37">
        <v>1</v>
      </c>
      <c r="N37">
        <v>2</v>
      </c>
      <c r="O37">
        <v>2</v>
      </c>
    </row>
    <row r="38" spans="1:15" x14ac:dyDescent="0.3">
      <c r="A38" s="1">
        <v>41674</v>
      </c>
      <c r="B38">
        <v>130127</v>
      </c>
      <c r="C38">
        <v>128496</v>
      </c>
      <c r="D38">
        <v>3809</v>
      </c>
      <c r="E38">
        <v>2014</v>
      </c>
      <c r="F38">
        <v>2</v>
      </c>
      <c r="G38" t="s">
        <v>24</v>
      </c>
      <c r="H38">
        <v>1</v>
      </c>
      <c r="I38">
        <v>4</v>
      </c>
      <c r="J38" t="s">
        <v>17</v>
      </c>
      <c r="K38">
        <v>34</v>
      </c>
      <c r="L38">
        <v>1630</v>
      </c>
      <c r="M38">
        <v>0</v>
      </c>
      <c r="N38">
        <v>1</v>
      </c>
      <c r="O38">
        <v>1</v>
      </c>
    </row>
    <row r="39" spans="1:15" x14ac:dyDescent="0.3">
      <c r="A39" s="1">
        <v>41675</v>
      </c>
      <c r="B39">
        <v>187156</v>
      </c>
      <c r="C39">
        <v>195079</v>
      </c>
      <c r="D39">
        <v>5764</v>
      </c>
      <c r="E39">
        <v>2014</v>
      </c>
      <c r="F39">
        <v>2</v>
      </c>
      <c r="G39" t="s">
        <v>24</v>
      </c>
      <c r="H39">
        <v>1</v>
      </c>
      <c r="I39">
        <v>5</v>
      </c>
      <c r="J39" t="s">
        <v>19</v>
      </c>
      <c r="K39">
        <v>32</v>
      </c>
      <c r="L39">
        <v>-7923</v>
      </c>
      <c r="M39">
        <v>-1</v>
      </c>
      <c r="N39">
        <v>-4</v>
      </c>
      <c r="O39">
        <v>-4</v>
      </c>
    </row>
    <row r="40" spans="1:15" x14ac:dyDescent="0.3">
      <c r="A40" s="1">
        <v>41676</v>
      </c>
      <c r="B40">
        <v>102315</v>
      </c>
      <c r="C40">
        <v>101978</v>
      </c>
      <c r="D40">
        <v>3028</v>
      </c>
      <c r="E40">
        <v>2014</v>
      </c>
      <c r="F40">
        <v>2</v>
      </c>
      <c r="G40" t="s">
        <v>24</v>
      </c>
      <c r="H40">
        <v>1</v>
      </c>
      <c r="I40">
        <v>6</v>
      </c>
      <c r="J40" t="s">
        <v>20</v>
      </c>
      <c r="K40">
        <v>34</v>
      </c>
      <c r="L40">
        <v>337</v>
      </c>
      <c r="M40">
        <v>0</v>
      </c>
      <c r="N40">
        <v>0</v>
      </c>
      <c r="O40">
        <v>0</v>
      </c>
    </row>
    <row r="41" spans="1:15" x14ac:dyDescent="0.3">
      <c r="A41" s="1">
        <v>41677</v>
      </c>
      <c r="B41">
        <v>301554</v>
      </c>
      <c r="C41">
        <v>313529</v>
      </c>
      <c r="D41">
        <v>9284</v>
      </c>
      <c r="E41">
        <v>2014</v>
      </c>
      <c r="F41">
        <v>2</v>
      </c>
      <c r="G41" t="s">
        <v>24</v>
      </c>
      <c r="H41">
        <v>1</v>
      </c>
      <c r="I41">
        <v>7</v>
      </c>
      <c r="J41" t="s">
        <v>21</v>
      </c>
      <c r="K41">
        <v>32</v>
      </c>
      <c r="L41">
        <v>-11975</v>
      </c>
      <c r="M41">
        <v>-1</v>
      </c>
      <c r="N41">
        <v>-4</v>
      </c>
      <c r="O41">
        <v>-4</v>
      </c>
    </row>
    <row r="42" spans="1:15" x14ac:dyDescent="0.3">
      <c r="A42" s="1">
        <v>41678</v>
      </c>
      <c r="B42">
        <v>316073</v>
      </c>
      <c r="C42">
        <v>329755</v>
      </c>
      <c r="D42">
        <v>9737</v>
      </c>
      <c r="E42">
        <v>2014</v>
      </c>
      <c r="F42">
        <v>2</v>
      </c>
      <c r="G42" t="s">
        <v>24</v>
      </c>
      <c r="H42">
        <v>1</v>
      </c>
      <c r="I42">
        <v>8</v>
      </c>
      <c r="J42" t="s">
        <v>22</v>
      </c>
      <c r="K42">
        <v>32</v>
      </c>
      <c r="L42">
        <v>-13682</v>
      </c>
      <c r="M42">
        <v>-1</v>
      </c>
      <c r="N42">
        <v>-4</v>
      </c>
      <c r="O42">
        <v>-4</v>
      </c>
    </row>
    <row r="43" spans="1:15" x14ac:dyDescent="0.3">
      <c r="A43" s="1">
        <v>41679</v>
      </c>
      <c r="B43">
        <v>135178</v>
      </c>
      <c r="C43">
        <v>141531</v>
      </c>
      <c r="D43">
        <v>4163</v>
      </c>
      <c r="E43">
        <v>2014</v>
      </c>
      <c r="F43">
        <v>2</v>
      </c>
      <c r="G43" t="s">
        <v>24</v>
      </c>
      <c r="H43">
        <v>1</v>
      </c>
      <c r="I43">
        <v>9</v>
      </c>
      <c r="J43" t="s">
        <v>23</v>
      </c>
      <c r="K43">
        <v>32</v>
      </c>
      <c r="L43">
        <v>-6353</v>
      </c>
      <c r="M43">
        <v>-2</v>
      </c>
      <c r="N43">
        <v>-5</v>
      </c>
      <c r="O43">
        <v>-5</v>
      </c>
    </row>
    <row r="44" spans="1:15" x14ac:dyDescent="0.3">
      <c r="A44" s="1">
        <v>41680</v>
      </c>
      <c r="B44">
        <v>147728</v>
      </c>
      <c r="C44">
        <v>154829</v>
      </c>
      <c r="D44">
        <v>4552</v>
      </c>
      <c r="E44">
        <v>2014</v>
      </c>
      <c r="F44">
        <v>2</v>
      </c>
      <c r="G44" t="s">
        <v>24</v>
      </c>
      <c r="H44">
        <v>1</v>
      </c>
      <c r="I44">
        <v>10</v>
      </c>
      <c r="J44" t="s">
        <v>16</v>
      </c>
      <c r="K44">
        <v>32</v>
      </c>
      <c r="L44">
        <v>-7101</v>
      </c>
      <c r="M44">
        <v>-2</v>
      </c>
      <c r="N44">
        <v>-5</v>
      </c>
      <c r="O44">
        <v>-5</v>
      </c>
    </row>
    <row r="45" spans="1:15" x14ac:dyDescent="0.3">
      <c r="A45" s="1">
        <v>41681</v>
      </c>
      <c r="B45">
        <v>135499</v>
      </c>
      <c r="C45">
        <v>139824</v>
      </c>
      <c r="D45">
        <v>4172</v>
      </c>
      <c r="E45">
        <v>2014</v>
      </c>
      <c r="F45">
        <v>2</v>
      </c>
      <c r="G45" t="s">
        <v>24</v>
      </c>
      <c r="H45">
        <v>1</v>
      </c>
      <c r="I45">
        <v>11</v>
      </c>
      <c r="J45" t="s">
        <v>17</v>
      </c>
      <c r="K45">
        <v>32</v>
      </c>
      <c r="L45">
        <v>-4325</v>
      </c>
      <c r="M45">
        <v>-1</v>
      </c>
      <c r="N45">
        <v>-3</v>
      </c>
      <c r="O45">
        <v>-3</v>
      </c>
    </row>
    <row r="46" spans="1:15" x14ac:dyDescent="0.3">
      <c r="A46" s="1">
        <v>41682</v>
      </c>
      <c r="B46">
        <v>163433</v>
      </c>
      <c r="C46">
        <v>166893</v>
      </c>
      <c r="D46">
        <v>5037</v>
      </c>
      <c r="E46">
        <v>2014</v>
      </c>
      <c r="F46">
        <v>2</v>
      </c>
      <c r="G46" t="s">
        <v>24</v>
      </c>
      <c r="H46">
        <v>1</v>
      </c>
      <c r="I46">
        <v>12</v>
      </c>
      <c r="J46" t="s">
        <v>19</v>
      </c>
      <c r="K46">
        <v>32</v>
      </c>
      <c r="L46">
        <v>-3461</v>
      </c>
      <c r="M46">
        <v>-1</v>
      </c>
      <c r="N46">
        <v>-2</v>
      </c>
      <c r="O46">
        <v>-2</v>
      </c>
    </row>
    <row r="47" spans="1:15" x14ac:dyDescent="0.3">
      <c r="A47" s="1">
        <v>41683</v>
      </c>
      <c r="B47">
        <v>138292</v>
      </c>
      <c r="C47">
        <v>141027</v>
      </c>
      <c r="D47">
        <v>4259</v>
      </c>
      <c r="E47">
        <v>2014</v>
      </c>
      <c r="F47">
        <v>2</v>
      </c>
      <c r="G47" t="s">
        <v>24</v>
      </c>
      <c r="H47">
        <v>1</v>
      </c>
      <c r="I47">
        <v>13</v>
      </c>
      <c r="J47" t="s">
        <v>20</v>
      </c>
      <c r="K47">
        <v>32</v>
      </c>
      <c r="L47">
        <v>-2736</v>
      </c>
      <c r="M47">
        <v>-1</v>
      </c>
      <c r="N47">
        <v>-2</v>
      </c>
      <c r="O47">
        <v>-2</v>
      </c>
    </row>
    <row r="48" spans="1:15" x14ac:dyDescent="0.3">
      <c r="A48" s="1">
        <v>41684</v>
      </c>
      <c r="B48">
        <v>336901</v>
      </c>
      <c r="C48">
        <v>343520</v>
      </c>
      <c r="D48">
        <v>10381</v>
      </c>
      <c r="E48">
        <v>2014</v>
      </c>
      <c r="F48">
        <v>2</v>
      </c>
      <c r="G48" t="s">
        <v>24</v>
      </c>
      <c r="H48">
        <v>1</v>
      </c>
      <c r="I48">
        <v>14</v>
      </c>
      <c r="J48" t="s">
        <v>21</v>
      </c>
      <c r="K48">
        <v>32</v>
      </c>
      <c r="L48">
        <v>-6619</v>
      </c>
      <c r="M48">
        <v>-1</v>
      </c>
      <c r="N48">
        <v>-2</v>
      </c>
      <c r="O48">
        <v>-2</v>
      </c>
    </row>
    <row r="49" spans="1:15" x14ac:dyDescent="0.3">
      <c r="A49" s="1">
        <v>41685</v>
      </c>
      <c r="B49">
        <v>367729</v>
      </c>
      <c r="C49">
        <v>373974</v>
      </c>
      <c r="D49">
        <v>11332</v>
      </c>
      <c r="E49">
        <v>2014</v>
      </c>
      <c r="F49">
        <v>2</v>
      </c>
      <c r="G49" t="s">
        <v>24</v>
      </c>
      <c r="H49">
        <v>1</v>
      </c>
      <c r="I49">
        <v>15</v>
      </c>
      <c r="J49" t="s">
        <v>22</v>
      </c>
      <c r="K49">
        <v>32</v>
      </c>
      <c r="L49">
        <v>-6244</v>
      </c>
      <c r="M49">
        <v>-1</v>
      </c>
      <c r="N49">
        <v>-2</v>
      </c>
      <c r="O49">
        <v>-2</v>
      </c>
    </row>
    <row r="50" spans="1:15" x14ac:dyDescent="0.3">
      <c r="A50" s="1">
        <v>41686</v>
      </c>
      <c r="B50">
        <v>133914</v>
      </c>
      <c r="C50">
        <v>136797</v>
      </c>
      <c r="D50">
        <v>4127</v>
      </c>
      <c r="E50">
        <v>2014</v>
      </c>
      <c r="F50">
        <v>2</v>
      </c>
      <c r="G50" t="s">
        <v>24</v>
      </c>
      <c r="H50">
        <v>1</v>
      </c>
      <c r="I50">
        <v>16</v>
      </c>
      <c r="J50" t="s">
        <v>23</v>
      </c>
      <c r="K50">
        <v>32</v>
      </c>
      <c r="L50">
        <v>-2883</v>
      </c>
      <c r="M50">
        <v>-1</v>
      </c>
      <c r="N50">
        <v>-2</v>
      </c>
      <c r="O50">
        <v>-2</v>
      </c>
    </row>
    <row r="51" spans="1:15" x14ac:dyDescent="0.3">
      <c r="A51" s="1">
        <v>41687</v>
      </c>
      <c r="B51">
        <v>150800</v>
      </c>
      <c r="C51">
        <v>152887</v>
      </c>
      <c r="D51">
        <v>4649</v>
      </c>
      <c r="E51">
        <v>2014</v>
      </c>
      <c r="F51">
        <v>2</v>
      </c>
      <c r="G51" t="s">
        <v>24</v>
      </c>
      <c r="H51">
        <v>1</v>
      </c>
      <c r="I51">
        <v>17</v>
      </c>
      <c r="J51" t="s">
        <v>16</v>
      </c>
      <c r="K51">
        <v>32</v>
      </c>
      <c r="L51">
        <v>-2087</v>
      </c>
      <c r="M51">
        <v>0</v>
      </c>
      <c r="N51">
        <v>-1</v>
      </c>
      <c r="O51">
        <v>-1</v>
      </c>
    </row>
    <row r="52" spans="1:15" x14ac:dyDescent="0.3">
      <c r="A52" s="1">
        <v>41688</v>
      </c>
      <c r="B52">
        <v>55592</v>
      </c>
      <c r="C52">
        <v>53463</v>
      </c>
      <c r="D52">
        <v>1627</v>
      </c>
      <c r="E52">
        <v>2014</v>
      </c>
      <c r="F52">
        <v>2</v>
      </c>
      <c r="G52" t="s">
        <v>24</v>
      </c>
      <c r="H52">
        <v>1</v>
      </c>
      <c r="I52">
        <v>18</v>
      </c>
      <c r="J52" t="s">
        <v>17</v>
      </c>
      <c r="K52">
        <v>34</v>
      </c>
      <c r="L52">
        <v>2129</v>
      </c>
      <c r="M52">
        <v>1</v>
      </c>
      <c r="N52">
        <v>4</v>
      </c>
      <c r="O52">
        <v>4</v>
      </c>
    </row>
    <row r="53" spans="1:15" x14ac:dyDescent="0.3">
      <c r="A53" s="1">
        <v>41689</v>
      </c>
      <c r="B53">
        <v>106427</v>
      </c>
      <c r="C53">
        <v>107736</v>
      </c>
      <c r="D53">
        <v>3281</v>
      </c>
      <c r="E53">
        <v>2014</v>
      </c>
      <c r="F53">
        <v>2</v>
      </c>
      <c r="G53" t="s">
        <v>24</v>
      </c>
      <c r="H53">
        <v>1</v>
      </c>
      <c r="I53">
        <v>19</v>
      </c>
      <c r="J53" t="s">
        <v>19</v>
      </c>
      <c r="K53">
        <v>32</v>
      </c>
      <c r="L53">
        <v>-1309</v>
      </c>
      <c r="M53">
        <v>0</v>
      </c>
      <c r="N53">
        <v>-1</v>
      </c>
      <c r="O53">
        <v>-1</v>
      </c>
    </row>
    <row r="54" spans="1:15" x14ac:dyDescent="0.3">
      <c r="A54" s="1">
        <v>41690</v>
      </c>
      <c r="B54">
        <v>78941</v>
      </c>
      <c r="C54">
        <v>75934</v>
      </c>
      <c r="D54">
        <v>2310</v>
      </c>
      <c r="E54">
        <v>2014</v>
      </c>
      <c r="F54">
        <v>2</v>
      </c>
      <c r="G54" t="s">
        <v>24</v>
      </c>
      <c r="H54">
        <v>1</v>
      </c>
      <c r="I54">
        <v>20</v>
      </c>
      <c r="J54" t="s">
        <v>20</v>
      </c>
      <c r="K54">
        <v>34</v>
      </c>
      <c r="L54">
        <v>3006</v>
      </c>
      <c r="M54">
        <v>1</v>
      </c>
      <c r="N54">
        <v>4</v>
      </c>
      <c r="O54">
        <v>4</v>
      </c>
    </row>
    <row r="55" spans="1:15" x14ac:dyDescent="0.3">
      <c r="A55" s="1">
        <v>41691</v>
      </c>
      <c r="B55">
        <v>317916</v>
      </c>
      <c r="C55">
        <v>322090</v>
      </c>
      <c r="D55">
        <v>9802</v>
      </c>
      <c r="E55">
        <v>2014</v>
      </c>
      <c r="F55">
        <v>2</v>
      </c>
      <c r="G55" t="s">
        <v>24</v>
      </c>
      <c r="H55">
        <v>1</v>
      </c>
      <c r="I55">
        <v>21</v>
      </c>
      <c r="J55" t="s">
        <v>21</v>
      </c>
      <c r="K55">
        <v>32</v>
      </c>
      <c r="L55">
        <v>-4173</v>
      </c>
      <c r="M55">
        <v>0</v>
      </c>
      <c r="N55">
        <v>-1</v>
      </c>
      <c r="O55">
        <v>-1</v>
      </c>
    </row>
    <row r="56" spans="1:15" x14ac:dyDescent="0.3">
      <c r="A56" s="1">
        <v>41692</v>
      </c>
      <c r="B56">
        <v>309218</v>
      </c>
      <c r="C56">
        <v>320117</v>
      </c>
      <c r="D56">
        <v>9772</v>
      </c>
      <c r="E56">
        <v>2014</v>
      </c>
      <c r="F56">
        <v>2</v>
      </c>
      <c r="G56" t="s">
        <v>24</v>
      </c>
      <c r="H56">
        <v>1</v>
      </c>
      <c r="I56">
        <v>22</v>
      </c>
      <c r="J56" t="s">
        <v>22</v>
      </c>
      <c r="K56">
        <v>32</v>
      </c>
      <c r="L56">
        <v>-10899</v>
      </c>
      <c r="M56">
        <v>-1</v>
      </c>
      <c r="N56">
        <v>-4</v>
      </c>
      <c r="O56">
        <v>-4</v>
      </c>
    </row>
    <row r="57" spans="1:15" x14ac:dyDescent="0.3">
      <c r="A57" s="1">
        <v>41693</v>
      </c>
      <c r="B57">
        <v>138492</v>
      </c>
      <c r="C57">
        <v>140753</v>
      </c>
      <c r="D57">
        <v>4270</v>
      </c>
      <c r="E57">
        <v>2014</v>
      </c>
      <c r="F57">
        <v>2</v>
      </c>
      <c r="G57" t="s">
        <v>24</v>
      </c>
      <c r="H57">
        <v>1</v>
      </c>
      <c r="I57">
        <v>23</v>
      </c>
      <c r="J57" t="s">
        <v>23</v>
      </c>
      <c r="K57">
        <v>32</v>
      </c>
      <c r="L57">
        <v>-2261</v>
      </c>
      <c r="M57">
        <v>-1</v>
      </c>
      <c r="N57">
        <v>-2</v>
      </c>
      <c r="O57">
        <v>-2</v>
      </c>
    </row>
    <row r="58" spans="1:15" x14ac:dyDescent="0.3">
      <c r="A58" s="1">
        <v>41694</v>
      </c>
      <c r="B58">
        <v>133146</v>
      </c>
      <c r="C58">
        <v>134505</v>
      </c>
      <c r="D58">
        <v>4106</v>
      </c>
      <c r="E58">
        <v>2014</v>
      </c>
      <c r="F58">
        <v>2</v>
      </c>
      <c r="G58" t="s">
        <v>24</v>
      </c>
      <c r="H58">
        <v>1</v>
      </c>
      <c r="I58">
        <v>24</v>
      </c>
      <c r="J58" t="s">
        <v>16</v>
      </c>
      <c r="K58">
        <v>32</v>
      </c>
      <c r="L58">
        <v>-1359</v>
      </c>
      <c r="M58">
        <v>0</v>
      </c>
      <c r="N58">
        <v>-1</v>
      </c>
      <c r="O58">
        <v>-1</v>
      </c>
    </row>
    <row r="59" spans="1:15" x14ac:dyDescent="0.3">
      <c r="A59" s="1">
        <v>41695</v>
      </c>
      <c r="B59">
        <v>224995</v>
      </c>
      <c r="C59">
        <v>227546</v>
      </c>
      <c r="D59">
        <v>6937</v>
      </c>
      <c r="E59">
        <v>2014</v>
      </c>
      <c r="F59">
        <v>2</v>
      </c>
      <c r="G59" t="s">
        <v>24</v>
      </c>
      <c r="H59">
        <v>1</v>
      </c>
      <c r="I59">
        <v>25</v>
      </c>
      <c r="J59" t="s">
        <v>17</v>
      </c>
      <c r="K59">
        <v>32</v>
      </c>
      <c r="L59">
        <v>-2552</v>
      </c>
      <c r="M59">
        <v>0</v>
      </c>
      <c r="N59">
        <v>-1</v>
      </c>
      <c r="O59">
        <v>-1</v>
      </c>
    </row>
    <row r="60" spans="1:15" x14ac:dyDescent="0.3">
      <c r="A60" s="1">
        <v>41696</v>
      </c>
      <c r="B60">
        <v>225052</v>
      </c>
      <c r="C60">
        <v>228214</v>
      </c>
      <c r="D60">
        <v>6934</v>
      </c>
      <c r="E60">
        <v>2014</v>
      </c>
      <c r="F60">
        <v>2</v>
      </c>
      <c r="G60" t="s">
        <v>24</v>
      </c>
      <c r="H60">
        <v>1</v>
      </c>
      <c r="I60">
        <v>26</v>
      </c>
      <c r="J60" t="s">
        <v>19</v>
      </c>
      <c r="K60">
        <v>32</v>
      </c>
      <c r="L60">
        <v>-3163</v>
      </c>
      <c r="M60">
        <v>0</v>
      </c>
      <c r="N60">
        <v>-1</v>
      </c>
      <c r="O60">
        <v>-1</v>
      </c>
    </row>
    <row r="61" spans="1:15" x14ac:dyDescent="0.3">
      <c r="A61" s="1">
        <v>41697</v>
      </c>
      <c r="B61">
        <v>344300</v>
      </c>
      <c r="C61">
        <v>365936</v>
      </c>
      <c r="D61">
        <v>11082</v>
      </c>
      <c r="E61">
        <v>2014</v>
      </c>
      <c r="F61">
        <v>2</v>
      </c>
      <c r="G61" t="s">
        <v>24</v>
      </c>
      <c r="H61">
        <v>1</v>
      </c>
      <c r="I61">
        <v>27</v>
      </c>
      <c r="J61" t="s">
        <v>20</v>
      </c>
      <c r="K61">
        <v>31</v>
      </c>
      <c r="L61">
        <v>-21636</v>
      </c>
      <c r="M61">
        <v>-2</v>
      </c>
      <c r="N61">
        <v>-6</v>
      </c>
      <c r="O61">
        <v>-6</v>
      </c>
    </row>
    <row r="62" spans="1:15" x14ac:dyDescent="0.3">
      <c r="A62" s="1">
        <v>41698</v>
      </c>
      <c r="B62">
        <v>661876</v>
      </c>
      <c r="C62">
        <v>686657</v>
      </c>
      <c r="D62">
        <v>20805</v>
      </c>
      <c r="E62">
        <v>2014</v>
      </c>
      <c r="F62">
        <v>2</v>
      </c>
      <c r="G62" t="s">
        <v>24</v>
      </c>
      <c r="H62">
        <v>1</v>
      </c>
      <c r="I62">
        <v>28</v>
      </c>
      <c r="J62" t="s">
        <v>21</v>
      </c>
      <c r="K62">
        <v>32</v>
      </c>
      <c r="L62">
        <v>-24780</v>
      </c>
      <c r="M62">
        <v>-1</v>
      </c>
      <c r="N62">
        <v>-4</v>
      </c>
      <c r="O62">
        <v>-4</v>
      </c>
    </row>
    <row r="63" spans="1:15" x14ac:dyDescent="0.3">
      <c r="A63" s="1">
        <v>41699</v>
      </c>
      <c r="B63">
        <v>846678</v>
      </c>
      <c r="C63">
        <v>872082</v>
      </c>
      <c r="D63">
        <v>26410</v>
      </c>
      <c r="E63">
        <v>2014</v>
      </c>
      <c r="F63">
        <v>3</v>
      </c>
      <c r="G63" t="s">
        <v>25</v>
      </c>
      <c r="H63">
        <v>1</v>
      </c>
      <c r="I63">
        <v>1</v>
      </c>
      <c r="J63" t="s">
        <v>22</v>
      </c>
      <c r="K63">
        <v>32</v>
      </c>
      <c r="L63">
        <v>-25403</v>
      </c>
      <c r="M63">
        <v>-1</v>
      </c>
      <c r="N63">
        <v>-3</v>
      </c>
      <c r="O63">
        <v>-3</v>
      </c>
    </row>
    <row r="64" spans="1:15" x14ac:dyDescent="0.3">
      <c r="A64" s="1">
        <v>41700</v>
      </c>
      <c r="B64">
        <v>478902</v>
      </c>
      <c r="C64">
        <v>495554</v>
      </c>
      <c r="D64">
        <v>15004</v>
      </c>
      <c r="E64">
        <v>2014</v>
      </c>
      <c r="F64">
        <v>3</v>
      </c>
      <c r="G64" t="s">
        <v>25</v>
      </c>
      <c r="H64">
        <v>1</v>
      </c>
      <c r="I64">
        <v>2</v>
      </c>
      <c r="J64" t="s">
        <v>23</v>
      </c>
      <c r="K64">
        <v>32</v>
      </c>
      <c r="L64">
        <v>-16652</v>
      </c>
      <c r="M64">
        <v>-1</v>
      </c>
      <c r="N64">
        <v>-3</v>
      </c>
      <c r="O64">
        <v>-3</v>
      </c>
    </row>
    <row r="65" spans="1:15" x14ac:dyDescent="0.3">
      <c r="A65" s="1">
        <v>41701</v>
      </c>
      <c r="B65">
        <v>538827</v>
      </c>
      <c r="C65">
        <v>557567</v>
      </c>
      <c r="D65">
        <v>16884</v>
      </c>
      <c r="E65">
        <v>2014</v>
      </c>
      <c r="F65">
        <v>3</v>
      </c>
      <c r="G65" t="s">
        <v>25</v>
      </c>
      <c r="H65">
        <v>1</v>
      </c>
      <c r="I65">
        <v>3</v>
      </c>
      <c r="J65" t="s">
        <v>16</v>
      </c>
      <c r="K65">
        <v>32</v>
      </c>
      <c r="L65">
        <v>-18740</v>
      </c>
      <c r="M65">
        <v>-1</v>
      </c>
      <c r="N65">
        <v>-3</v>
      </c>
      <c r="O65">
        <v>-3</v>
      </c>
    </row>
    <row r="66" spans="1:15" x14ac:dyDescent="0.3">
      <c r="A66" s="1">
        <v>41702</v>
      </c>
      <c r="B66">
        <v>310346</v>
      </c>
      <c r="C66">
        <v>323325</v>
      </c>
      <c r="D66">
        <v>9789</v>
      </c>
      <c r="E66">
        <v>2014</v>
      </c>
      <c r="F66">
        <v>3</v>
      </c>
      <c r="G66" t="s">
        <v>25</v>
      </c>
      <c r="H66">
        <v>1</v>
      </c>
      <c r="I66">
        <v>4</v>
      </c>
      <c r="J66" t="s">
        <v>17</v>
      </c>
      <c r="K66">
        <v>32</v>
      </c>
      <c r="L66">
        <v>-12979</v>
      </c>
      <c r="M66">
        <v>-1</v>
      </c>
      <c r="N66">
        <v>-4</v>
      </c>
      <c r="O66">
        <v>-4</v>
      </c>
    </row>
    <row r="67" spans="1:15" x14ac:dyDescent="0.3">
      <c r="A67" s="1">
        <v>41703</v>
      </c>
      <c r="B67">
        <v>256391</v>
      </c>
      <c r="C67">
        <v>267309</v>
      </c>
      <c r="D67">
        <v>8079</v>
      </c>
      <c r="E67">
        <v>2014</v>
      </c>
      <c r="F67">
        <v>3</v>
      </c>
      <c r="G67" t="s">
        <v>25</v>
      </c>
      <c r="H67">
        <v>1</v>
      </c>
      <c r="I67">
        <v>5</v>
      </c>
      <c r="J67" t="s">
        <v>19</v>
      </c>
      <c r="K67">
        <v>32</v>
      </c>
      <c r="L67">
        <v>-10918</v>
      </c>
      <c r="M67">
        <v>-1</v>
      </c>
      <c r="N67">
        <v>-4</v>
      </c>
      <c r="O67">
        <v>-4</v>
      </c>
    </row>
    <row r="68" spans="1:15" x14ac:dyDescent="0.3">
      <c r="A68" s="1">
        <v>41704</v>
      </c>
      <c r="B68">
        <v>167804</v>
      </c>
      <c r="C68">
        <v>168136</v>
      </c>
      <c r="D68">
        <v>5072</v>
      </c>
      <c r="E68">
        <v>2014</v>
      </c>
      <c r="F68">
        <v>3</v>
      </c>
      <c r="G68" t="s">
        <v>25</v>
      </c>
      <c r="H68">
        <v>1</v>
      </c>
      <c r="I68">
        <v>6</v>
      </c>
      <c r="J68" t="s">
        <v>20</v>
      </c>
      <c r="K68">
        <v>33</v>
      </c>
      <c r="L68">
        <v>-332</v>
      </c>
      <c r="M68">
        <v>0</v>
      </c>
      <c r="N68">
        <v>0</v>
      </c>
      <c r="O68">
        <v>0</v>
      </c>
    </row>
    <row r="69" spans="1:15" x14ac:dyDescent="0.3">
      <c r="A69" s="1">
        <v>41705</v>
      </c>
      <c r="B69">
        <v>465318</v>
      </c>
      <c r="C69">
        <v>483775</v>
      </c>
      <c r="D69">
        <v>14551</v>
      </c>
      <c r="E69">
        <v>2014</v>
      </c>
      <c r="F69">
        <v>3</v>
      </c>
      <c r="G69" t="s">
        <v>25</v>
      </c>
      <c r="H69">
        <v>1</v>
      </c>
      <c r="I69">
        <v>7</v>
      </c>
      <c r="J69" t="s">
        <v>21</v>
      </c>
      <c r="K69">
        <v>32</v>
      </c>
      <c r="L69">
        <v>-18457</v>
      </c>
      <c r="M69">
        <v>-1</v>
      </c>
      <c r="N69">
        <v>-4</v>
      </c>
      <c r="O69">
        <v>-4</v>
      </c>
    </row>
    <row r="70" spans="1:15" x14ac:dyDescent="0.3">
      <c r="A70" s="1">
        <v>41706</v>
      </c>
      <c r="B70">
        <v>520147</v>
      </c>
      <c r="C70">
        <v>541499</v>
      </c>
      <c r="D70">
        <v>16262</v>
      </c>
      <c r="E70">
        <v>2014</v>
      </c>
      <c r="F70">
        <v>3</v>
      </c>
      <c r="G70" t="s">
        <v>25</v>
      </c>
      <c r="H70">
        <v>1</v>
      </c>
      <c r="I70">
        <v>8</v>
      </c>
      <c r="J70" t="s">
        <v>22</v>
      </c>
      <c r="K70">
        <v>32</v>
      </c>
      <c r="L70">
        <v>-21352</v>
      </c>
      <c r="M70">
        <v>-1</v>
      </c>
      <c r="N70">
        <v>-4</v>
      </c>
      <c r="O70">
        <v>-4</v>
      </c>
    </row>
    <row r="71" spans="1:15" x14ac:dyDescent="0.3">
      <c r="A71" s="1">
        <v>41707</v>
      </c>
      <c r="B71">
        <v>224699</v>
      </c>
      <c r="C71">
        <v>233590</v>
      </c>
      <c r="D71">
        <v>7014</v>
      </c>
      <c r="E71">
        <v>2014</v>
      </c>
      <c r="F71">
        <v>3</v>
      </c>
      <c r="G71" t="s">
        <v>25</v>
      </c>
      <c r="H71">
        <v>1</v>
      </c>
      <c r="I71">
        <v>9</v>
      </c>
      <c r="J71" t="s">
        <v>23</v>
      </c>
      <c r="K71">
        <v>32</v>
      </c>
      <c r="L71">
        <v>-8891</v>
      </c>
      <c r="M71">
        <v>-1</v>
      </c>
      <c r="N71">
        <v>-4</v>
      </c>
      <c r="O71">
        <v>-4</v>
      </c>
    </row>
    <row r="72" spans="1:15" x14ac:dyDescent="0.3">
      <c r="A72" s="1">
        <v>41708</v>
      </c>
      <c r="B72">
        <v>286231</v>
      </c>
      <c r="C72">
        <v>297643</v>
      </c>
      <c r="D72">
        <v>8932</v>
      </c>
      <c r="E72">
        <v>2014</v>
      </c>
      <c r="F72">
        <v>3</v>
      </c>
      <c r="G72" t="s">
        <v>25</v>
      </c>
      <c r="H72">
        <v>1</v>
      </c>
      <c r="I72">
        <v>10</v>
      </c>
      <c r="J72" t="s">
        <v>16</v>
      </c>
      <c r="K72">
        <v>32</v>
      </c>
      <c r="L72">
        <v>-11412</v>
      </c>
      <c r="M72">
        <v>-1</v>
      </c>
      <c r="N72">
        <v>-4</v>
      </c>
      <c r="O72">
        <v>-4</v>
      </c>
    </row>
    <row r="73" spans="1:15" x14ac:dyDescent="0.3">
      <c r="A73" s="1">
        <v>41709</v>
      </c>
      <c r="B73">
        <v>187143</v>
      </c>
      <c r="C73">
        <v>191499</v>
      </c>
      <c r="D73">
        <v>5737</v>
      </c>
      <c r="E73">
        <v>2014</v>
      </c>
      <c r="F73">
        <v>3</v>
      </c>
      <c r="G73" t="s">
        <v>25</v>
      </c>
      <c r="H73">
        <v>1</v>
      </c>
      <c r="I73">
        <v>11</v>
      </c>
      <c r="J73" t="s">
        <v>17</v>
      </c>
      <c r="K73">
        <v>33</v>
      </c>
      <c r="L73">
        <v>-4356</v>
      </c>
      <c r="M73">
        <v>-1</v>
      </c>
      <c r="N73">
        <v>-2</v>
      </c>
      <c r="O73">
        <v>-2</v>
      </c>
    </row>
    <row r="74" spans="1:15" x14ac:dyDescent="0.3">
      <c r="A74" s="1">
        <v>41710</v>
      </c>
      <c r="B74">
        <v>191700</v>
      </c>
      <c r="C74">
        <v>197153</v>
      </c>
      <c r="D74">
        <v>5903</v>
      </c>
      <c r="E74">
        <v>2014</v>
      </c>
      <c r="F74">
        <v>3</v>
      </c>
      <c r="G74" t="s">
        <v>25</v>
      </c>
      <c r="H74">
        <v>1</v>
      </c>
      <c r="I74">
        <v>12</v>
      </c>
      <c r="J74" t="s">
        <v>19</v>
      </c>
      <c r="K74">
        <v>32</v>
      </c>
      <c r="L74">
        <v>-5453</v>
      </c>
      <c r="M74">
        <v>-1</v>
      </c>
      <c r="N74">
        <v>-3</v>
      </c>
      <c r="O74">
        <v>-3</v>
      </c>
    </row>
    <row r="75" spans="1:15" x14ac:dyDescent="0.3">
      <c r="A75" s="1">
        <v>41711</v>
      </c>
      <c r="B75">
        <v>164664</v>
      </c>
      <c r="C75">
        <v>168975</v>
      </c>
      <c r="D75">
        <v>5056</v>
      </c>
      <c r="E75">
        <v>2014</v>
      </c>
      <c r="F75">
        <v>3</v>
      </c>
      <c r="G75" t="s">
        <v>25</v>
      </c>
      <c r="H75">
        <v>1</v>
      </c>
      <c r="I75">
        <v>13</v>
      </c>
      <c r="J75" t="s">
        <v>20</v>
      </c>
      <c r="K75">
        <v>33</v>
      </c>
      <c r="L75">
        <v>-4311</v>
      </c>
      <c r="M75">
        <v>-1</v>
      </c>
      <c r="N75">
        <v>-3</v>
      </c>
      <c r="O75">
        <v>-3</v>
      </c>
    </row>
    <row r="76" spans="1:15" x14ac:dyDescent="0.3">
      <c r="A76" s="1">
        <v>41712</v>
      </c>
      <c r="B76">
        <v>395941</v>
      </c>
      <c r="C76">
        <v>406766</v>
      </c>
      <c r="D76">
        <v>12167</v>
      </c>
      <c r="E76">
        <v>2014</v>
      </c>
      <c r="F76">
        <v>3</v>
      </c>
      <c r="G76" t="s">
        <v>25</v>
      </c>
      <c r="H76">
        <v>1</v>
      </c>
      <c r="I76">
        <v>14</v>
      </c>
      <c r="J76" t="s">
        <v>21</v>
      </c>
      <c r="K76">
        <v>33</v>
      </c>
      <c r="L76">
        <v>-10825</v>
      </c>
      <c r="M76">
        <v>-1</v>
      </c>
      <c r="N76">
        <v>-3</v>
      </c>
      <c r="O76">
        <v>-3</v>
      </c>
    </row>
    <row r="77" spans="1:15" x14ac:dyDescent="0.3">
      <c r="A77" s="1">
        <v>41713</v>
      </c>
      <c r="B77">
        <v>518183</v>
      </c>
      <c r="C77">
        <v>534383</v>
      </c>
      <c r="D77">
        <v>15971</v>
      </c>
      <c r="E77">
        <v>2014</v>
      </c>
      <c r="F77">
        <v>3</v>
      </c>
      <c r="G77" t="s">
        <v>25</v>
      </c>
      <c r="H77">
        <v>1</v>
      </c>
      <c r="I77">
        <v>15</v>
      </c>
      <c r="J77" t="s">
        <v>22</v>
      </c>
      <c r="K77">
        <v>32</v>
      </c>
      <c r="L77">
        <v>-16200</v>
      </c>
      <c r="M77">
        <v>-1</v>
      </c>
      <c r="N77">
        <v>-3</v>
      </c>
      <c r="O77">
        <v>-3</v>
      </c>
    </row>
    <row r="78" spans="1:15" x14ac:dyDescent="0.3">
      <c r="A78" s="1">
        <v>41714</v>
      </c>
      <c r="B78">
        <v>226618</v>
      </c>
      <c r="C78">
        <v>233191</v>
      </c>
      <c r="D78">
        <v>6968</v>
      </c>
      <c r="E78">
        <v>2014</v>
      </c>
      <c r="F78">
        <v>3</v>
      </c>
      <c r="G78" t="s">
        <v>25</v>
      </c>
      <c r="H78">
        <v>1</v>
      </c>
      <c r="I78">
        <v>16</v>
      </c>
      <c r="J78" t="s">
        <v>23</v>
      </c>
      <c r="K78">
        <v>33</v>
      </c>
      <c r="L78">
        <v>-6573</v>
      </c>
      <c r="M78">
        <v>-1</v>
      </c>
      <c r="N78">
        <v>-3</v>
      </c>
      <c r="O78">
        <v>-3</v>
      </c>
    </row>
    <row r="79" spans="1:15" x14ac:dyDescent="0.3">
      <c r="A79" s="1">
        <v>41715</v>
      </c>
      <c r="B79">
        <v>243708</v>
      </c>
      <c r="C79">
        <v>250794</v>
      </c>
      <c r="D79">
        <v>7494</v>
      </c>
      <c r="E79">
        <v>2014</v>
      </c>
      <c r="F79">
        <v>3</v>
      </c>
      <c r="G79" t="s">
        <v>25</v>
      </c>
      <c r="H79">
        <v>1</v>
      </c>
      <c r="I79">
        <v>17</v>
      </c>
      <c r="J79" t="s">
        <v>16</v>
      </c>
      <c r="K79">
        <v>33</v>
      </c>
      <c r="L79">
        <v>-7086</v>
      </c>
      <c r="M79">
        <v>-1</v>
      </c>
      <c r="N79">
        <v>-3</v>
      </c>
      <c r="O79">
        <v>-3</v>
      </c>
    </row>
    <row r="80" spans="1:15" x14ac:dyDescent="0.3">
      <c r="A80" s="1">
        <v>41716</v>
      </c>
      <c r="B80">
        <v>94850</v>
      </c>
      <c r="C80">
        <v>90572</v>
      </c>
      <c r="D80">
        <v>2707</v>
      </c>
      <c r="E80">
        <v>2014</v>
      </c>
      <c r="F80">
        <v>3</v>
      </c>
      <c r="G80" t="s">
        <v>25</v>
      </c>
      <c r="H80">
        <v>1</v>
      </c>
      <c r="I80">
        <v>18</v>
      </c>
      <c r="J80" t="s">
        <v>17</v>
      </c>
      <c r="K80">
        <v>35</v>
      </c>
      <c r="L80">
        <v>4278</v>
      </c>
      <c r="M80">
        <v>2</v>
      </c>
      <c r="N80">
        <v>5</v>
      </c>
      <c r="O80">
        <v>5</v>
      </c>
    </row>
    <row r="81" spans="1:15" x14ac:dyDescent="0.3">
      <c r="A81" s="1">
        <v>41717</v>
      </c>
      <c r="B81">
        <v>92387</v>
      </c>
      <c r="C81">
        <v>88256</v>
      </c>
      <c r="D81">
        <v>2637</v>
      </c>
      <c r="E81">
        <v>2014</v>
      </c>
      <c r="F81">
        <v>3</v>
      </c>
      <c r="G81" t="s">
        <v>25</v>
      </c>
      <c r="H81">
        <v>1</v>
      </c>
      <c r="I81">
        <v>19</v>
      </c>
      <c r="J81" t="s">
        <v>19</v>
      </c>
      <c r="K81">
        <v>35</v>
      </c>
      <c r="L81">
        <v>4131</v>
      </c>
      <c r="M81">
        <v>2</v>
      </c>
      <c r="N81">
        <v>4</v>
      </c>
      <c r="O81">
        <v>4</v>
      </c>
    </row>
    <row r="82" spans="1:15" x14ac:dyDescent="0.3">
      <c r="A82" s="1">
        <v>41718</v>
      </c>
      <c r="B82">
        <v>180395</v>
      </c>
      <c r="C82">
        <v>172344</v>
      </c>
      <c r="D82">
        <v>5149</v>
      </c>
      <c r="E82">
        <v>2014</v>
      </c>
      <c r="F82">
        <v>3</v>
      </c>
      <c r="G82" t="s">
        <v>25</v>
      </c>
      <c r="H82">
        <v>1</v>
      </c>
      <c r="I82">
        <v>20</v>
      </c>
      <c r="J82" t="s">
        <v>20</v>
      </c>
      <c r="K82">
        <v>35</v>
      </c>
      <c r="L82">
        <v>8051</v>
      </c>
      <c r="M82">
        <v>2</v>
      </c>
      <c r="N82">
        <v>4</v>
      </c>
      <c r="O82">
        <v>4</v>
      </c>
    </row>
    <row r="83" spans="1:15" x14ac:dyDescent="0.3">
      <c r="A83" s="1">
        <v>41719</v>
      </c>
      <c r="B83">
        <v>200940</v>
      </c>
      <c r="C83">
        <v>192019</v>
      </c>
      <c r="D83">
        <v>5735</v>
      </c>
      <c r="E83">
        <v>2014</v>
      </c>
      <c r="F83">
        <v>3</v>
      </c>
      <c r="G83" t="s">
        <v>25</v>
      </c>
      <c r="H83">
        <v>1</v>
      </c>
      <c r="I83">
        <v>21</v>
      </c>
      <c r="J83" t="s">
        <v>21</v>
      </c>
      <c r="K83">
        <v>35</v>
      </c>
      <c r="L83">
        <v>8921</v>
      </c>
      <c r="M83">
        <v>2</v>
      </c>
      <c r="N83">
        <v>4</v>
      </c>
      <c r="O83">
        <v>4</v>
      </c>
    </row>
    <row r="84" spans="1:15" x14ac:dyDescent="0.3">
      <c r="A84" s="1">
        <v>41720</v>
      </c>
      <c r="B84">
        <v>172954</v>
      </c>
      <c r="C84">
        <v>165201</v>
      </c>
      <c r="D84">
        <v>4936</v>
      </c>
      <c r="E84">
        <v>2014</v>
      </c>
      <c r="F84">
        <v>3</v>
      </c>
      <c r="G84" t="s">
        <v>25</v>
      </c>
      <c r="H84">
        <v>1</v>
      </c>
      <c r="I84">
        <v>22</v>
      </c>
      <c r="J84" t="s">
        <v>22</v>
      </c>
      <c r="K84">
        <v>35</v>
      </c>
      <c r="L84">
        <v>7753</v>
      </c>
      <c r="M84">
        <v>2</v>
      </c>
      <c r="N84">
        <v>4</v>
      </c>
      <c r="O84">
        <v>4</v>
      </c>
    </row>
    <row r="85" spans="1:15" x14ac:dyDescent="0.3">
      <c r="A85" s="1">
        <v>41721</v>
      </c>
      <c r="B85">
        <v>70195</v>
      </c>
      <c r="C85">
        <v>67062</v>
      </c>
      <c r="D85">
        <v>2003</v>
      </c>
      <c r="E85">
        <v>2014</v>
      </c>
      <c r="F85">
        <v>3</v>
      </c>
      <c r="G85" t="s">
        <v>25</v>
      </c>
      <c r="H85">
        <v>1</v>
      </c>
      <c r="I85">
        <v>23</v>
      </c>
      <c r="J85" t="s">
        <v>23</v>
      </c>
      <c r="K85">
        <v>35</v>
      </c>
      <c r="L85">
        <v>3133</v>
      </c>
      <c r="M85">
        <v>2</v>
      </c>
      <c r="N85">
        <v>4</v>
      </c>
      <c r="O85">
        <v>4</v>
      </c>
    </row>
    <row r="86" spans="1:15" x14ac:dyDescent="0.3">
      <c r="A86" s="1">
        <v>41722</v>
      </c>
      <c r="B86">
        <v>81378</v>
      </c>
      <c r="C86">
        <v>77704</v>
      </c>
      <c r="D86">
        <v>2323</v>
      </c>
      <c r="E86">
        <v>2014</v>
      </c>
      <c r="F86">
        <v>3</v>
      </c>
      <c r="G86" t="s">
        <v>25</v>
      </c>
      <c r="H86">
        <v>1</v>
      </c>
      <c r="I86">
        <v>24</v>
      </c>
      <c r="J86" t="s">
        <v>16</v>
      </c>
      <c r="K86">
        <v>35</v>
      </c>
      <c r="L86">
        <v>3675</v>
      </c>
      <c r="M86">
        <v>2</v>
      </c>
      <c r="N86">
        <v>5</v>
      </c>
      <c r="O86">
        <v>5</v>
      </c>
    </row>
    <row r="87" spans="1:15" x14ac:dyDescent="0.3">
      <c r="A87" s="1">
        <v>41723</v>
      </c>
      <c r="B87">
        <v>130227</v>
      </c>
      <c r="C87">
        <v>127394</v>
      </c>
      <c r="D87">
        <v>3822</v>
      </c>
      <c r="E87">
        <v>2014</v>
      </c>
      <c r="F87">
        <v>3</v>
      </c>
      <c r="G87" t="s">
        <v>25</v>
      </c>
      <c r="H87">
        <v>1</v>
      </c>
      <c r="I87">
        <v>25</v>
      </c>
      <c r="J87" t="s">
        <v>17</v>
      </c>
      <c r="K87">
        <v>34</v>
      </c>
      <c r="L87">
        <v>2833</v>
      </c>
      <c r="M87">
        <v>1</v>
      </c>
      <c r="N87">
        <v>2</v>
      </c>
      <c r="O87">
        <v>2</v>
      </c>
    </row>
    <row r="88" spans="1:15" x14ac:dyDescent="0.3">
      <c r="A88" s="1">
        <v>41724</v>
      </c>
      <c r="B88">
        <v>125310</v>
      </c>
      <c r="C88">
        <v>122275</v>
      </c>
      <c r="D88">
        <v>3666</v>
      </c>
      <c r="E88">
        <v>2014</v>
      </c>
      <c r="F88">
        <v>3</v>
      </c>
      <c r="G88" t="s">
        <v>25</v>
      </c>
      <c r="H88">
        <v>1</v>
      </c>
      <c r="I88">
        <v>26</v>
      </c>
      <c r="J88" t="s">
        <v>19</v>
      </c>
      <c r="K88">
        <v>34</v>
      </c>
      <c r="L88">
        <v>3035</v>
      </c>
      <c r="M88">
        <v>1</v>
      </c>
      <c r="N88">
        <v>2</v>
      </c>
      <c r="O88">
        <v>2</v>
      </c>
    </row>
    <row r="89" spans="1:15" x14ac:dyDescent="0.3">
      <c r="A89" s="1">
        <v>41725</v>
      </c>
      <c r="B89">
        <v>119452</v>
      </c>
      <c r="C89">
        <v>118187</v>
      </c>
      <c r="D89">
        <v>3543</v>
      </c>
      <c r="E89">
        <v>2014</v>
      </c>
      <c r="F89">
        <v>3</v>
      </c>
      <c r="G89" t="s">
        <v>25</v>
      </c>
      <c r="H89">
        <v>1</v>
      </c>
      <c r="I89">
        <v>27</v>
      </c>
      <c r="J89" t="s">
        <v>20</v>
      </c>
      <c r="K89">
        <v>34</v>
      </c>
      <c r="L89">
        <v>1266</v>
      </c>
      <c r="M89">
        <v>0</v>
      </c>
      <c r="N89">
        <v>1</v>
      </c>
      <c r="O89">
        <v>1</v>
      </c>
    </row>
    <row r="90" spans="1:15" x14ac:dyDescent="0.3">
      <c r="A90" s="1">
        <v>41726</v>
      </c>
      <c r="B90">
        <v>276175</v>
      </c>
      <c r="C90">
        <v>271551</v>
      </c>
      <c r="D90">
        <v>8130</v>
      </c>
      <c r="E90">
        <v>2014</v>
      </c>
      <c r="F90">
        <v>3</v>
      </c>
      <c r="G90" t="s">
        <v>25</v>
      </c>
      <c r="H90">
        <v>1</v>
      </c>
      <c r="I90">
        <v>28</v>
      </c>
      <c r="J90" t="s">
        <v>21</v>
      </c>
      <c r="K90">
        <v>34</v>
      </c>
      <c r="L90">
        <v>4624</v>
      </c>
      <c r="M90">
        <v>1</v>
      </c>
      <c r="N90">
        <v>2</v>
      </c>
      <c r="O90">
        <v>2</v>
      </c>
    </row>
    <row r="91" spans="1:15" x14ac:dyDescent="0.3">
      <c r="A91" s="1">
        <v>41727</v>
      </c>
      <c r="B91">
        <v>357369</v>
      </c>
      <c r="C91">
        <v>352251</v>
      </c>
      <c r="D91">
        <v>10518</v>
      </c>
      <c r="E91">
        <v>2014</v>
      </c>
      <c r="F91">
        <v>3</v>
      </c>
      <c r="G91" t="s">
        <v>25</v>
      </c>
      <c r="H91">
        <v>1</v>
      </c>
      <c r="I91">
        <v>29</v>
      </c>
      <c r="J91" t="s">
        <v>22</v>
      </c>
      <c r="K91">
        <v>34</v>
      </c>
      <c r="L91">
        <v>5118</v>
      </c>
      <c r="M91">
        <v>0</v>
      </c>
      <c r="N91">
        <v>1</v>
      </c>
      <c r="O91">
        <v>1</v>
      </c>
    </row>
    <row r="92" spans="1:15" x14ac:dyDescent="0.3">
      <c r="A92" s="1">
        <v>41728</v>
      </c>
      <c r="B92">
        <v>163865</v>
      </c>
      <c r="C92">
        <v>160525</v>
      </c>
      <c r="D92">
        <v>4791</v>
      </c>
      <c r="E92">
        <v>2014</v>
      </c>
      <c r="F92">
        <v>3</v>
      </c>
      <c r="G92" t="s">
        <v>25</v>
      </c>
      <c r="H92">
        <v>1</v>
      </c>
      <c r="I92">
        <v>30</v>
      </c>
      <c r="J92" t="s">
        <v>23</v>
      </c>
      <c r="K92">
        <v>34</v>
      </c>
      <c r="L92">
        <v>3340</v>
      </c>
      <c r="M92">
        <v>1</v>
      </c>
      <c r="N92">
        <v>2</v>
      </c>
      <c r="O92">
        <v>2</v>
      </c>
    </row>
    <row r="93" spans="1:15" x14ac:dyDescent="0.3">
      <c r="A93" s="1">
        <v>41729</v>
      </c>
      <c r="B93">
        <v>190720</v>
      </c>
      <c r="C93">
        <v>187073</v>
      </c>
      <c r="D93">
        <v>5583</v>
      </c>
      <c r="E93">
        <v>2014</v>
      </c>
      <c r="F93">
        <v>3</v>
      </c>
      <c r="G93" t="s">
        <v>25</v>
      </c>
      <c r="H93">
        <v>1</v>
      </c>
      <c r="I93">
        <v>31</v>
      </c>
      <c r="J93" t="s">
        <v>16</v>
      </c>
      <c r="K93">
        <v>34</v>
      </c>
      <c r="L93">
        <v>3647</v>
      </c>
      <c r="M93">
        <v>1</v>
      </c>
      <c r="N93">
        <v>2</v>
      </c>
      <c r="O93">
        <v>2</v>
      </c>
    </row>
    <row r="94" spans="1:15" x14ac:dyDescent="0.3">
      <c r="A94" s="1">
        <v>41730</v>
      </c>
      <c r="B94">
        <v>244535</v>
      </c>
      <c r="C94">
        <v>239701</v>
      </c>
      <c r="D94">
        <v>7155</v>
      </c>
      <c r="E94">
        <v>2014</v>
      </c>
      <c r="F94">
        <v>4</v>
      </c>
      <c r="G94" t="s">
        <v>26</v>
      </c>
      <c r="H94">
        <v>2</v>
      </c>
      <c r="I94">
        <v>1</v>
      </c>
      <c r="J94" t="s">
        <v>17</v>
      </c>
      <c r="K94">
        <v>34</v>
      </c>
      <c r="L94">
        <v>4835</v>
      </c>
      <c r="M94">
        <v>1</v>
      </c>
      <c r="N94">
        <v>2</v>
      </c>
      <c r="O94">
        <v>2</v>
      </c>
    </row>
    <row r="95" spans="1:15" x14ac:dyDescent="0.3">
      <c r="A95" s="1">
        <v>41731</v>
      </c>
      <c r="B95">
        <v>155621</v>
      </c>
      <c r="C95">
        <v>153366</v>
      </c>
      <c r="D95">
        <v>4575</v>
      </c>
      <c r="E95">
        <v>2014</v>
      </c>
      <c r="F95">
        <v>4</v>
      </c>
      <c r="G95" t="s">
        <v>26</v>
      </c>
      <c r="H95">
        <v>2</v>
      </c>
      <c r="I95">
        <v>2</v>
      </c>
      <c r="J95" t="s">
        <v>19</v>
      </c>
      <c r="K95">
        <v>34</v>
      </c>
      <c r="L95">
        <v>2254</v>
      </c>
      <c r="M95">
        <v>0</v>
      </c>
      <c r="N95">
        <v>1</v>
      </c>
      <c r="O95">
        <v>1</v>
      </c>
    </row>
    <row r="96" spans="1:15" x14ac:dyDescent="0.3">
      <c r="A96" s="1">
        <v>41732</v>
      </c>
      <c r="B96">
        <v>136002</v>
      </c>
      <c r="C96">
        <v>134523</v>
      </c>
      <c r="D96">
        <v>3997</v>
      </c>
      <c r="E96">
        <v>2014</v>
      </c>
      <c r="F96">
        <v>4</v>
      </c>
      <c r="G96" t="s">
        <v>26</v>
      </c>
      <c r="H96">
        <v>2</v>
      </c>
      <c r="I96">
        <v>3</v>
      </c>
      <c r="J96" t="s">
        <v>20</v>
      </c>
      <c r="K96">
        <v>34</v>
      </c>
      <c r="L96">
        <v>1479</v>
      </c>
      <c r="M96">
        <v>0</v>
      </c>
      <c r="N96">
        <v>1</v>
      </c>
      <c r="O96">
        <v>1</v>
      </c>
    </row>
    <row r="97" spans="1:15" x14ac:dyDescent="0.3">
      <c r="A97" s="1">
        <v>41733</v>
      </c>
      <c r="B97">
        <v>190560</v>
      </c>
      <c r="C97">
        <v>187742</v>
      </c>
      <c r="D97">
        <v>5558</v>
      </c>
      <c r="E97">
        <v>2014</v>
      </c>
      <c r="F97">
        <v>4</v>
      </c>
      <c r="G97" t="s">
        <v>26</v>
      </c>
      <c r="H97">
        <v>2</v>
      </c>
      <c r="I97">
        <v>4</v>
      </c>
      <c r="J97" t="s">
        <v>21</v>
      </c>
      <c r="K97">
        <v>34</v>
      </c>
      <c r="L97">
        <v>2818</v>
      </c>
      <c r="M97">
        <v>1</v>
      </c>
      <c r="N97">
        <v>1</v>
      </c>
      <c r="O97">
        <v>1</v>
      </c>
    </row>
    <row r="98" spans="1:15" x14ac:dyDescent="0.3">
      <c r="A98" s="1">
        <v>41734</v>
      </c>
      <c r="B98">
        <v>217111</v>
      </c>
      <c r="C98">
        <v>213541</v>
      </c>
      <c r="D98">
        <v>6320</v>
      </c>
      <c r="E98">
        <v>2014</v>
      </c>
      <c r="F98">
        <v>4</v>
      </c>
      <c r="G98" t="s">
        <v>26</v>
      </c>
      <c r="H98">
        <v>2</v>
      </c>
      <c r="I98">
        <v>5</v>
      </c>
      <c r="J98" t="s">
        <v>22</v>
      </c>
      <c r="K98">
        <v>34</v>
      </c>
      <c r="L98">
        <v>3570</v>
      </c>
      <c r="M98">
        <v>1</v>
      </c>
      <c r="N98">
        <v>2</v>
      </c>
      <c r="O98">
        <v>2</v>
      </c>
    </row>
    <row r="99" spans="1:15" x14ac:dyDescent="0.3">
      <c r="A99" s="1">
        <v>41735</v>
      </c>
      <c r="B99">
        <v>119190</v>
      </c>
      <c r="C99">
        <v>116856</v>
      </c>
      <c r="D99">
        <v>3447</v>
      </c>
      <c r="E99">
        <v>2014</v>
      </c>
      <c r="F99">
        <v>4</v>
      </c>
      <c r="G99" t="s">
        <v>26</v>
      </c>
      <c r="H99">
        <v>2</v>
      </c>
      <c r="I99">
        <v>6</v>
      </c>
      <c r="J99" t="s">
        <v>23</v>
      </c>
      <c r="K99">
        <v>35</v>
      </c>
      <c r="L99">
        <v>2334</v>
      </c>
      <c r="M99">
        <v>1</v>
      </c>
      <c r="N99">
        <v>2</v>
      </c>
      <c r="O99">
        <v>2</v>
      </c>
    </row>
    <row r="100" spans="1:15" x14ac:dyDescent="0.3">
      <c r="A100" s="1">
        <v>41736</v>
      </c>
      <c r="B100">
        <v>131910</v>
      </c>
      <c r="C100">
        <v>130784</v>
      </c>
      <c r="D100">
        <v>3854</v>
      </c>
      <c r="E100">
        <v>2014</v>
      </c>
      <c r="F100">
        <v>4</v>
      </c>
      <c r="G100" t="s">
        <v>26</v>
      </c>
      <c r="H100">
        <v>2</v>
      </c>
      <c r="I100">
        <v>7</v>
      </c>
      <c r="J100" t="s">
        <v>16</v>
      </c>
      <c r="K100">
        <v>34</v>
      </c>
      <c r="L100">
        <v>1126</v>
      </c>
      <c r="M100">
        <v>0</v>
      </c>
      <c r="N100">
        <v>1</v>
      </c>
      <c r="O100">
        <v>1</v>
      </c>
    </row>
    <row r="101" spans="1:15" x14ac:dyDescent="0.3">
      <c r="A101" s="1">
        <v>41737</v>
      </c>
      <c r="B101">
        <v>118921</v>
      </c>
      <c r="C101">
        <v>115306</v>
      </c>
      <c r="D101">
        <v>3394</v>
      </c>
      <c r="E101">
        <v>2014</v>
      </c>
      <c r="F101">
        <v>4</v>
      </c>
      <c r="G101" t="s">
        <v>26</v>
      </c>
      <c r="H101">
        <v>2</v>
      </c>
      <c r="I101">
        <v>8</v>
      </c>
      <c r="J101" t="s">
        <v>17</v>
      </c>
      <c r="K101">
        <v>35</v>
      </c>
      <c r="L101">
        <v>3616</v>
      </c>
      <c r="M101">
        <v>1</v>
      </c>
      <c r="N101">
        <v>3</v>
      </c>
      <c r="O101">
        <v>3</v>
      </c>
    </row>
    <row r="102" spans="1:15" x14ac:dyDescent="0.3">
      <c r="A102" s="1">
        <v>41738</v>
      </c>
      <c r="B102">
        <v>124828</v>
      </c>
      <c r="C102">
        <v>121265</v>
      </c>
      <c r="D102">
        <v>3563</v>
      </c>
      <c r="E102">
        <v>2014</v>
      </c>
      <c r="F102">
        <v>4</v>
      </c>
      <c r="G102" t="s">
        <v>26</v>
      </c>
      <c r="H102">
        <v>2</v>
      </c>
      <c r="I102">
        <v>9</v>
      </c>
      <c r="J102" t="s">
        <v>19</v>
      </c>
      <c r="K102">
        <v>35</v>
      </c>
      <c r="L102">
        <v>3564</v>
      </c>
      <c r="M102">
        <v>1</v>
      </c>
      <c r="N102">
        <v>3</v>
      </c>
      <c r="O102">
        <v>3</v>
      </c>
    </row>
    <row r="103" spans="1:15" x14ac:dyDescent="0.3">
      <c r="A103" s="1">
        <v>41739</v>
      </c>
      <c r="B103">
        <v>179326</v>
      </c>
      <c r="C103">
        <v>183279</v>
      </c>
      <c r="D103">
        <v>5380</v>
      </c>
      <c r="E103">
        <v>2014</v>
      </c>
      <c r="F103">
        <v>4</v>
      </c>
      <c r="G103" t="s">
        <v>26</v>
      </c>
      <c r="H103">
        <v>2</v>
      </c>
      <c r="I103">
        <v>10</v>
      </c>
      <c r="J103" t="s">
        <v>20</v>
      </c>
      <c r="K103">
        <v>33</v>
      </c>
      <c r="L103">
        <v>-3952</v>
      </c>
      <c r="M103">
        <v>-1</v>
      </c>
      <c r="N103">
        <v>-2</v>
      </c>
      <c r="O103">
        <v>-2</v>
      </c>
    </row>
    <row r="104" spans="1:15" x14ac:dyDescent="0.3">
      <c r="A104" s="1">
        <v>41740</v>
      </c>
      <c r="B104">
        <v>318950</v>
      </c>
      <c r="C104">
        <v>326323</v>
      </c>
      <c r="D104">
        <v>9573</v>
      </c>
      <c r="E104">
        <v>2014</v>
      </c>
      <c r="F104">
        <v>4</v>
      </c>
      <c r="G104" t="s">
        <v>26</v>
      </c>
      <c r="H104">
        <v>2</v>
      </c>
      <c r="I104">
        <v>11</v>
      </c>
      <c r="J104" t="s">
        <v>21</v>
      </c>
      <c r="K104">
        <v>33</v>
      </c>
      <c r="L104">
        <v>-7373</v>
      </c>
      <c r="M104">
        <v>-1</v>
      </c>
      <c r="N104">
        <v>-2</v>
      </c>
      <c r="O104">
        <v>-2</v>
      </c>
    </row>
    <row r="105" spans="1:15" x14ac:dyDescent="0.3">
      <c r="A105" s="1">
        <v>41741</v>
      </c>
      <c r="B105">
        <v>375031</v>
      </c>
      <c r="C105">
        <v>383727</v>
      </c>
      <c r="D105">
        <v>11250</v>
      </c>
      <c r="E105">
        <v>2014</v>
      </c>
      <c r="F105">
        <v>4</v>
      </c>
      <c r="G105" t="s">
        <v>26</v>
      </c>
      <c r="H105">
        <v>2</v>
      </c>
      <c r="I105">
        <v>12</v>
      </c>
      <c r="J105" t="s">
        <v>22</v>
      </c>
      <c r="K105">
        <v>33</v>
      </c>
      <c r="L105">
        <v>-8696</v>
      </c>
      <c r="M105">
        <v>-1</v>
      </c>
      <c r="N105">
        <v>-2</v>
      </c>
      <c r="O105">
        <v>-2</v>
      </c>
    </row>
    <row r="106" spans="1:15" x14ac:dyDescent="0.3">
      <c r="A106" s="1">
        <v>41742</v>
      </c>
      <c r="B106">
        <v>166394</v>
      </c>
      <c r="C106">
        <v>170062</v>
      </c>
      <c r="D106">
        <v>4990</v>
      </c>
      <c r="E106">
        <v>2014</v>
      </c>
      <c r="F106">
        <v>4</v>
      </c>
      <c r="G106" t="s">
        <v>26</v>
      </c>
      <c r="H106">
        <v>2</v>
      </c>
      <c r="I106">
        <v>13</v>
      </c>
      <c r="J106" t="s">
        <v>23</v>
      </c>
      <c r="K106">
        <v>33</v>
      </c>
      <c r="L106">
        <v>-3668</v>
      </c>
      <c r="M106">
        <v>-1</v>
      </c>
      <c r="N106">
        <v>-2</v>
      </c>
      <c r="O106">
        <v>-2</v>
      </c>
    </row>
    <row r="107" spans="1:15" x14ac:dyDescent="0.3">
      <c r="A107" s="1">
        <v>41743</v>
      </c>
      <c r="B107">
        <v>193652</v>
      </c>
      <c r="C107">
        <v>198212</v>
      </c>
      <c r="D107">
        <v>5810</v>
      </c>
      <c r="E107">
        <v>2014</v>
      </c>
      <c r="F107">
        <v>4</v>
      </c>
      <c r="G107" t="s">
        <v>26</v>
      </c>
      <c r="H107">
        <v>2</v>
      </c>
      <c r="I107">
        <v>14</v>
      </c>
      <c r="J107" t="s">
        <v>16</v>
      </c>
      <c r="K107">
        <v>33</v>
      </c>
      <c r="L107">
        <v>-4560</v>
      </c>
      <c r="M107">
        <v>-1</v>
      </c>
      <c r="N107">
        <v>-2</v>
      </c>
      <c r="O107">
        <v>-2</v>
      </c>
    </row>
    <row r="108" spans="1:15" x14ac:dyDescent="0.3">
      <c r="A108" s="1">
        <v>41744</v>
      </c>
      <c r="B108">
        <v>249806</v>
      </c>
      <c r="C108">
        <v>255957</v>
      </c>
      <c r="D108">
        <v>7497</v>
      </c>
      <c r="E108">
        <v>2014</v>
      </c>
      <c r="F108">
        <v>4</v>
      </c>
      <c r="G108" t="s">
        <v>26</v>
      </c>
      <c r="H108">
        <v>2</v>
      </c>
      <c r="I108">
        <v>15</v>
      </c>
      <c r="J108" t="s">
        <v>17</v>
      </c>
      <c r="K108">
        <v>33</v>
      </c>
      <c r="L108">
        <v>-6151</v>
      </c>
      <c r="M108">
        <v>-1</v>
      </c>
      <c r="N108">
        <v>-2</v>
      </c>
      <c r="O108">
        <v>-2</v>
      </c>
    </row>
    <row r="109" spans="1:15" x14ac:dyDescent="0.3">
      <c r="A109" s="1">
        <v>41745</v>
      </c>
      <c r="B109">
        <v>294023</v>
      </c>
      <c r="C109">
        <v>301522</v>
      </c>
      <c r="D109">
        <v>8821</v>
      </c>
      <c r="E109">
        <v>2014</v>
      </c>
      <c r="F109">
        <v>4</v>
      </c>
      <c r="G109" t="s">
        <v>26</v>
      </c>
      <c r="H109">
        <v>2</v>
      </c>
      <c r="I109">
        <v>16</v>
      </c>
      <c r="J109" t="s">
        <v>19</v>
      </c>
      <c r="K109">
        <v>33</v>
      </c>
      <c r="L109">
        <v>-7499</v>
      </c>
      <c r="M109">
        <v>-1</v>
      </c>
      <c r="N109">
        <v>-3</v>
      </c>
      <c r="O109">
        <v>-3</v>
      </c>
    </row>
    <row r="110" spans="1:15" x14ac:dyDescent="0.3">
      <c r="A110" s="1">
        <v>41746</v>
      </c>
      <c r="B110">
        <v>612236</v>
      </c>
      <c r="C110">
        <v>627928</v>
      </c>
      <c r="D110">
        <v>18366</v>
      </c>
      <c r="E110">
        <v>2014</v>
      </c>
      <c r="F110">
        <v>4</v>
      </c>
      <c r="G110" t="s">
        <v>26</v>
      </c>
      <c r="H110">
        <v>2</v>
      </c>
      <c r="I110">
        <v>17</v>
      </c>
      <c r="J110" t="s">
        <v>20</v>
      </c>
      <c r="K110">
        <v>33</v>
      </c>
      <c r="L110">
        <v>-15692</v>
      </c>
      <c r="M110">
        <v>-1</v>
      </c>
      <c r="N110">
        <v>-3</v>
      </c>
      <c r="O110">
        <v>-3</v>
      </c>
    </row>
    <row r="111" spans="1:15" x14ac:dyDescent="0.3">
      <c r="A111" s="1">
        <v>41747</v>
      </c>
      <c r="B111">
        <v>464816</v>
      </c>
      <c r="C111">
        <v>476693</v>
      </c>
      <c r="D111">
        <v>13940</v>
      </c>
      <c r="E111">
        <v>2014</v>
      </c>
      <c r="F111">
        <v>4</v>
      </c>
      <c r="G111" t="s">
        <v>26</v>
      </c>
      <c r="H111">
        <v>2</v>
      </c>
      <c r="I111">
        <v>18</v>
      </c>
      <c r="J111" t="s">
        <v>21</v>
      </c>
      <c r="K111">
        <v>33</v>
      </c>
      <c r="L111">
        <v>-11877</v>
      </c>
      <c r="M111">
        <v>-1</v>
      </c>
      <c r="N111">
        <v>-3</v>
      </c>
      <c r="O111">
        <v>-3</v>
      </c>
    </row>
    <row r="112" spans="1:15" x14ac:dyDescent="0.3">
      <c r="A112" s="1">
        <v>41748</v>
      </c>
      <c r="B112">
        <v>360481</v>
      </c>
      <c r="C112">
        <v>369766</v>
      </c>
      <c r="D112">
        <v>10814</v>
      </c>
      <c r="E112">
        <v>2014</v>
      </c>
      <c r="F112">
        <v>4</v>
      </c>
      <c r="G112" t="s">
        <v>26</v>
      </c>
      <c r="H112">
        <v>2</v>
      </c>
      <c r="I112">
        <v>19</v>
      </c>
      <c r="J112" t="s">
        <v>22</v>
      </c>
      <c r="K112">
        <v>33</v>
      </c>
      <c r="L112">
        <v>-9285</v>
      </c>
      <c r="M112">
        <v>-1</v>
      </c>
      <c r="N112">
        <v>-3</v>
      </c>
      <c r="O112">
        <v>-3</v>
      </c>
    </row>
    <row r="113" spans="1:15" x14ac:dyDescent="0.3">
      <c r="A113" s="1">
        <v>41749</v>
      </c>
      <c r="B113">
        <v>114280</v>
      </c>
      <c r="C113">
        <v>117191</v>
      </c>
      <c r="D113">
        <v>3429</v>
      </c>
      <c r="E113">
        <v>2014</v>
      </c>
      <c r="F113">
        <v>4</v>
      </c>
      <c r="G113" t="s">
        <v>26</v>
      </c>
      <c r="H113">
        <v>2</v>
      </c>
      <c r="I113">
        <v>20</v>
      </c>
      <c r="J113" t="s">
        <v>23</v>
      </c>
      <c r="K113">
        <v>33</v>
      </c>
      <c r="L113">
        <v>-2911</v>
      </c>
      <c r="M113">
        <v>-1</v>
      </c>
      <c r="N113">
        <v>-3</v>
      </c>
      <c r="O113">
        <v>-3</v>
      </c>
    </row>
    <row r="114" spans="1:15" x14ac:dyDescent="0.3">
      <c r="A114" s="1">
        <v>41750</v>
      </c>
      <c r="B114">
        <v>161171</v>
      </c>
      <c r="C114">
        <v>165415</v>
      </c>
      <c r="D114">
        <v>4834</v>
      </c>
      <c r="E114">
        <v>2014</v>
      </c>
      <c r="F114">
        <v>4</v>
      </c>
      <c r="G114" t="s">
        <v>26</v>
      </c>
      <c r="H114">
        <v>2</v>
      </c>
      <c r="I114">
        <v>21</v>
      </c>
      <c r="J114" t="s">
        <v>16</v>
      </c>
      <c r="K114">
        <v>33</v>
      </c>
      <c r="L114">
        <v>-4244</v>
      </c>
      <c r="M114">
        <v>-1</v>
      </c>
      <c r="N114">
        <v>-3</v>
      </c>
      <c r="O114">
        <v>-3</v>
      </c>
    </row>
    <row r="115" spans="1:15" x14ac:dyDescent="0.3">
      <c r="A115" s="1">
        <v>41751</v>
      </c>
      <c r="B115">
        <v>182483</v>
      </c>
      <c r="C115">
        <v>187345</v>
      </c>
      <c r="D115">
        <v>5475</v>
      </c>
      <c r="E115">
        <v>2014</v>
      </c>
      <c r="F115">
        <v>4</v>
      </c>
      <c r="G115" t="s">
        <v>26</v>
      </c>
      <c r="H115">
        <v>2</v>
      </c>
      <c r="I115">
        <v>22</v>
      </c>
      <c r="J115" t="s">
        <v>17</v>
      </c>
      <c r="K115">
        <v>33</v>
      </c>
      <c r="L115">
        <v>-4862</v>
      </c>
      <c r="M115">
        <v>-1</v>
      </c>
      <c r="N115">
        <v>-3</v>
      </c>
      <c r="O115">
        <v>-3</v>
      </c>
    </row>
    <row r="116" spans="1:15" x14ac:dyDescent="0.3">
      <c r="A116" s="1">
        <v>41752</v>
      </c>
      <c r="B116">
        <v>109358</v>
      </c>
      <c r="C116">
        <v>106850</v>
      </c>
      <c r="D116">
        <v>3121</v>
      </c>
      <c r="E116">
        <v>2014</v>
      </c>
      <c r="F116">
        <v>4</v>
      </c>
      <c r="G116" t="s">
        <v>26</v>
      </c>
      <c r="H116">
        <v>2</v>
      </c>
      <c r="I116">
        <v>23</v>
      </c>
      <c r="J116" t="s">
        <v>19</v>
      </c>
      <c r="K116">
        <v>35</v>
      </c>
      <c r="L116">
        <v>2509</v>
      </c>
      <c r="M116">
        <v>1</v>
      </c>
      <c r="N116">
        <v>2</v>
      </c>
      <c r="O116">
        <v>2</v>
      </c>
    </row>
    <row r="117" spans="1:15" x14ac:dyDescent="0.3">
      <c r="A117" s="1">
        <v>41753</v>
      </c>
      <c r="B117">
        <v>98430</v>
      </c>
      <c r="C117">
        <v>96197</v>
      </c>
      <c r="D117">
        <v>2809</v>
      </c>
      <c r="E117">
        <v>2014</v>
      </c>
      <c r="F117">
        <v>4</v>
      </c>
      <c r="G117" t="s">
        <v>26</v>
      </c>
      <c r="H117">
        <v>2</v>
      </c>
      <c r="I117">
        <v>24</v>
      </c>
      <c r="J117" t="s">
        <v>20</v>
      </c>
      <c r="K117">
        <v>35</v>
      </c>
      <c r="L117">
        <v>2233</v>
      </c>
      <c r="M117">
        <v>1</v>
      </c>
      <c r="N117">
        <v>2</v>
      </c>
      <c r="O117">
        <v>2</v>
      </c>
    </row>
    <row r="118" spans="1:15" x14ac:dyDescent="0.3">
      <c r="A118" s="1">
        <v>41754</v>
      </c>
      <c r="B118">
        <v>295741</v>
      </c>
      <c r="C118">
        <v>292327</v>
      </c>
      <c r="D118">
        <v>8537</v>
      </c>
      <c r="E118">
        <v>2014</v>
      </c>
      <c r="F118">
        <v>4</v>
      </c>
      <c r="G118" t="s">
        <v>26</v>
      </c>
      <c r="H118">
        <v>2</v>
      </c>
      <c r="I118">
        <v>25</v>
      </c>
      <c r="J118" t="s">
        <v>21</v>
      </c>
      <c r="K118">
        <v>35</v>
      </c>
      <c r="L118">
        <v>3414</v>
      </c>
      <c r="M118">
        <v>0</v>
      </c>
      <c r="N118">
        <v>1</v>
      </c>
      <c r="O118">
        <v>1</v>
      </c>
    </row>
    <row r="119" spans="1:15" x14ac:dyDescent="0.3">
      <c r="A119" s="1">
        <v>41755</v>
      </c>
      <c r="B119">
        <v>285054</v>
      </c>
      <c r="C119">
        <v>281160</v>
      </c>
      <c r="D119">
        <v>8209</v>
      </c>
      <c r="E119">
        <v>2014</v>
      </c>
      <c r="F119">
        <v>4</v>
      </c>
      <c r="G119" t="s">
        <v>26</v>
      </c>
      <c r="H119">
        <v>2</v>
      </c>
      <c r="I119">
        <v>26</v>
      </c>
      <c r="J119" t="s">
        <v>22</v>
      </c>
      <c r="K119">
        <v>35</v>
      </c>
      <c r="L119">
        <v>3894</v>
      </c>
      <c r="M119">
        <v>0</v>
      </c>
      <c r="N119">
        <v>1</v>
      </c>
      <c r="O119">
        <v>1</v>
      </c>
    </row>
    <row r="120" spans="1:15" x14ac:dyDescent="0.3">
      <c r="A120" s="1">
        <v>41756</v>
      </c>
      <c r="B120">
        <v>124965</v>
      </c>
      <c r="C120">
        <v>123042</v>
      </c>
      <c r="D120">
        <v>3592</v>
      </c>
      <c r="E120">
        <v>2014</v>
      </c>
      <c r="F120">
        <v>4</v>
      </c>
      <c r="G120" t="s">
        <v>26</v>
      </c>
      <c r="H120">
        <v>2</v>
      </c>
      <c r="I120">
        <v>27</v>
      </c>
      <c r="J120" t="s">
        <v>23</v>
      </c>
      <c r="K120">
        <v>35</v>
      </c>
      <c r="L120">
        <v>1923</v>
      </c>
      <c r="M120">
        <v>1</v>
      </c>
      <c r="N120">
        <v>2</v>
      </c>
      <c r="O120">
        <v>2</v>
      </c>
    </row>
    <row r="121" spans="1:15" x14ac:dyDescent="0.3">
      <c r="A121" s="1">
        <v>41757</v>
      </c>
      <c r="B121">
        <v>124176</v>
      </c>
      <c r="C121">
        <v>122516</v>
      </c>
      <c r="D121">
        <v>3576</v>
      </c>
      <c r="E121">
        <v>2014</v>
      </c>
      <c r="F121">
        <v>4</v>
      </c>
      <c r="G121" t="s">
        <v>26</v>
      </c>
      <c r="H121">
        <v>2</v>
      </c>
      <c r="I121">
        <v>28</v>
      </c>
      <c r="J121" t="s">
        <v>16</v>
      </c>
      <c r="K121">
        <v>35</v>
      </c>
      <c r="L121">
        <v>1660</v>
      </c>
      <c r="M121">
        <v>0</v>
      </c>
      <c r="N121">
        <v>1</v>
      </c>
      <c r="O121">
        <v>1</v>
      </c>
    </row>
    <row r="122" spans="1:15" x14ac:dyDescent="0.3">
      <c r="A122" s="1">
        <v>41758</v>
      </c>
      <c r="B122">
        <v>131843</v>
      </c>
      <c r="C122">
        <v>130405</v>
      </c>
      <c r="D122">
        <v>3807</v>
      </c>
      <c r="E122">
        <v>2014</v>
      </c>
      <c r="F122">
        <v>4</v>
      </c>
      <c r="G122" t="s">
        <v>26</v>
      </c>
      <c r="H122">
        <v>2</v>
      </c>
      <c r="I122">
        <v>29</v>
      </c>
      <c r="J122" t="s">
        <v>17</v>
      </c>
      <c r="K122">
        <v>35</v>
      </c>
      <c r="L122">
        <v>1437</v>
      </c>
      <c r="M122">
        <v>0</v>
      </c>
      <c r="N122">
        <v>1</v>
      </c>
      <c r="O122">
        <v>1</v>
      </c>
    </row>
    <row r="123" spans="1:15" x14ac:dyDescent="0.3">
      <c r="A123" s="1">
        <v>41759</v>
      </c>
      <c r="B123">
        <v>154850</v>
      </c>
      <c r="C123">
        <v>150644</v>
      </c>
      <c r="D123">
        <v>4398</v>
      </c>
      <c r="E123">
        <v>2014</v>
      </c>
      <c r="F123">
        <v>4</v>
      </c>
      <c r="G123" t="s">
        <v>26</v>
      </c>
      <c r="H123">
        <v>2</v>
      </c>
      <c r="I123">
        <v>30</v>
      </c>
      <c r="J123" t="s">
        <v>19</v>
      </c>
      <c r="K123">
        <v>35</v>
      </c>
      <c r="L123">
        <v>4206</v>
      </c>
      <c r="M123">
        <v>1</v>
      </c>
      <c r="N123">
        <v>3</v>
      </c>
      <c r="O123">
        <v>3</v>
      </c>
    </row>
    <row r="124" spans="1:15" x14ac:dyDescent="0.3">
      <c r="A124" s="1">
        <v>41760</v>
      </c>
      <c r="B124">
        <v>180294</v>
      </c>
      <c r="C124">
        <v>175657</v>
      </c>
      <c r="D124">
        <v>5124</v>
      </c>
      <c r="E124">
        <v>2014</v>
      </c>
      <c r="F124">
        <v>5</v>
      </c>
      <c r="G124" t="s">
        <v>27</v>
      </c>
      <c r="H124">
        <v>2</v>
      </c>
      <c r="I124">
        <v>1</v>
      </c>
      <c r="J124" t="s">
        <v>20</v>
      </c>
      <c r="K124">
        <v>35</v>
      </c>
      <c r="L124">
        <v>4638</v>
      </c>
      <c r="M124">
        <v>1</v>
      </c>
      <c r="N124">
        <v>3</v>
      </c>
      <c r="O124">
        <v>3</v>
      </c>
    </row>
    <row r="125" spans="1:15" x14ac:dyDescent="0.3">
      <c r="A125" s="1">
        <v>41761</v>
      </c>
      <c r="B125">
        <v>163849</v>
      </c>
      <c r="C125">
        <v>157301</v>
      </c>
      <c r="D125">
        <v>4581</v>
      </c>
      <c r="E125">
        <v>2014</v>
      </c>
      <c r="F125">
        <v>5</v>
      </c>
      <c r="G125" t="s">
        <v>27</v>
      </c>
      <c r="H125">
        <v>2</v>
      </c>
      <c r="I125">
        <v>2</v>
      </c>
      <c r="J125" t="s">
        <v>21</v>
      </c>
      <c r="K125">
        <v>36</v>
      </c>
      <c r="L125">
        <v>6548</v>
      </c>
      <c r="M125">
        <v>1</v>
      </c>
      <c r="N125">
        <v>4</v>
      </c>
      <c r="O125">
        <v>4</v>
      </c>
    </row>
    <row r="126" spans="1:15" x14ac:dyDescent="0.3">
      <c r="A126" s="1">
        <v>41762</v>
      </c>
      <c r="B126">
        <v>131437</v>
      </c>
      <c r="C126">
        <v>127602</v>
      </c>
      <c r="D126">
        <v>3697</v>
      </c>
      <c r="E126">
        <v>2014</v>
      </c>
      <c r="F126">
        <v>5</v>
      </c>
      <c r="G126" t="s">
        <v>27</v>
      </c>
      <c r="H126">
        <v>2</v>
      </c>
      <c r="I126">
        <v>3</v>
      </c>
      <c r="J126" t="s">
        <v>22</v>
      </c>
      <c r="K126">
        <v>36</v>
      </c>
      <c r="L126">
        <v>3835</v>
      </c>
      <c r="M126">
        <v>1</v>
      </c>
      <c r="N126">
        <v>3</v>
      </c>
      <c r="O126">
        <v>3</v>
      </c>
    </row>
    <row r="127" spans="1:15" x14ac:dyDescent="0.3">
      <c r="A127" s="1">
        <v>41763</v>
      </c>
      <c r="B127">
        <v>93082</v>
      </c>
      <c r="C127">
        <v>91602</v>
      </c>
      <c r="D127">
        <v>2642</v>
      </c>
      <c r="E127">
        <v>2014</v>
      </c>
      <c r="F127">
        <v>5</v>
      </c>
      <c r="G127" t="s">
        <v>27</v>
      </c>
      <c r="H127">
        <v>2</v>
      </c>
      <c r="I127">
        <v>4</v>
      </c>
      <c r="J127" t="s">
        <v>23</v>
      </c>
      <c r="K127">
        <v>35</v>
      </c>
      <c r="L127">
        <v>1481</v>
      </c>
      <c r="M127">
        <v>1</v>
      </c>
      <c r="N127">
        <v>2</v>
      </c>
      <c r="O127">
        <v>2</v>
      </c>
    </row>
    <row r="128" spans="1:15" x14ac:dyDescent="0.3">
      <c r="A128" s="1">
        <v>41764</v>
      </c>
      <c r="B128">
        <v>110887</v>
      </c>
      <c r="C128">
        <v>109460</v>
      </c>
      <c r="D128">
        <v>3154</v>
      </c>
      <c r="E128">
        <v>2014</v>
      </c>
      <c r="F128">
        <v>5</v>
      </c>
      <c r="G128" t="s">
        <v>27</v>
      </c>
      <c r="H128">
        <v>2</v>
      </c>
      <c r="I128">
        <v>5</v>
      </c>
      <c r="J128" t="s">
        <v>16</v>
      </c>
      <c r="K128">
        <v>35</v>
      </c>
      <c r="L128">
        <v>1427</v>
      </c>
      <c r="M128">
        <v>0</v>
      </c>
      <c r="N128">
        <v>1</v>
      </c>
      <c r="O128">
        <v>1</v>
      </c>
    </row>
    <row r="129" spans="1:15" x14ac:dyDescent="0.3">
      <c r="A129" s="1">
        <v>41765</v>
      </c>
      <c r="B129">
        <v>119386</v>
      </c>
      <c r="C129">
        <v>115693</v>
      </c>
      <c r="D129">
        <v>3324</v>
      </c>
      <c r="E129">
        <v>2014</v>
      </c>
      <c r="F129">
        <v>5</v>
      </c>
      <c r="G129" t="s">
        <v>27</v>
      </c>
      <c r="H129">
        <v>2</v>
      </c>
      <c r="I129">
        <v>6</v>
      </c>
      <c r="J129" t="s">
        <v>17</v>
      </c>
      <c r="K129">
        <v>36</v>
      </c>
      <c r="L129">
        <v>3692</v>
      </c>
      <c r="M129">
        <v>1</v>
      </c>
      <c r="N129">
        <v>3</v>
      </c>
      <c r="O129">
        <v>3</v>
      </c>
    </row>
    <row r="130" spans="1:15" x14ac:dyDescent="0.3">
      <c r="A130" s="1">
        <v>41766</v>
      </c>
      <c r="B130">
        <v>91720</v>
      </c>
      <c r="C130">
        <v>93157</v>
      </c>
      <c r="D130">
        <v>2677</v>
      </c>
      <c r="E130">
        <v>2014</v>
      </c>
      <c r="F130">
        <v>5</v>
      </c>
      <c r="G130" t="s">
        <v>27</v>
      </c>
      <c r="H130">
        <v>2</v>
      </c>
      <c r="I130">
        <v>7</v>
      </c>
      <c r="J130" t="s">
        <v>19</v>
      </c>
      <c r="K130">
        <v>34</v>
      </c>
      <c r="L130">
        <v>-1438</v>
      </c>
      <c r="M130">
        <v>-1</v>
      </c>
      <c r="N130">
        <v>-2</v>
      </c>
      <c r="O130">
        <v>-2</v>
      </c>
    </row>
    <row r="131" spans="1:15" x14ac:dyDescent="0.3">
      <c r="A131" s="1">
        <v>41767</v>
      </c>
      <c r="B131">
        <v>96335</v>
      </c>
      <c r="C131">
        <v>93696</v>
      </c>
      <c r="D131">
        <v>2683</v>
      </c>
      <c r="E131">
        <v>2014</v>
      </c>
      <c r="F131">
        <v>5</v>
      </c>
      <c r="G131" t="s">
        <v>27</v>
      </c>
      <c r="H131">
        <v>2</v>
      </c>
      <c r="I131">
        <v>8</v>
      </c>
      <c r="J131" t="s">
        <v>20</v>
      </c>
      <c r="K131">
        <v>36</v>
      </c>
      <c r="L131">
        <v>2639</v>
      </c>
      <c r="M131">
        <v>1</v>
      </c>
      <c r="N131">
        <v>3</v>
      </c>
      <c r="O131">
        <v>3</v>
      </c>
    </row>
    <row r="132" spans="1:15" x14ac:dyDescent="0.3">
      <c r="A132" s="1">
        <v>41768</v>
      </c>
      <c r="B132">
        <v>303226</v>
      </c>
      <c r="C132">
        <v>325837</v>
      </c>
      <c r="D132">
        <v>9328</v>
      </c>
      <c r="E132">
        <v>2014</v>
      </c>
      <c r="F132">
        <v>5</v>
      </c>
      <c r="G132" t="s">
        <v>27</v>
      </c>
      <c r="H132">
        <v>2</v>
      </c>
      <c r="I132">
        <v>9</v>
      </c>
      <c r="J132" t="s">
        <v>21</v>
      </c>
      <c r="K132">
        <v>33</v>
      </c>
      <c r="L132">
        <v>-22611</v>
      </c>
      <c r="M132">
        <v>-2</v>
      </c>
      <c r="N132">
        <v>-7</v>
      </c>
      <c r="O132">
        <v>-7</v>
      </c>
    </row>
    <row r="133" spans="1:15" x14ac:dyDescent="0.3">
      <c r="A133" s="1">
        <v>41769</v>
      </c>
      <c r="B133">
        <v>431696</v>
      </c>
      <c r="C133">
        <v>465254</v>
      </c>
      <c r="D133">
        <v>13306</v>
      </c>
      <c r="E133">
        <v>2014</v>
      </c>
      <c r="F133">
        <v>5</v>
      </c>
      <c r="G133" t="s">
        <v>27</v>
      </c>
      <c r="H133">
        <v>2</v>
      </c>
      <c r="I133">
        <v>10</v>
      </c>
      <c r="J133" t="s">
        <v>22</v>
      </c>
      <c r="K133">
        <v>32</v>
      </c>
      <c r="L133">
        <v>-33558</v>
      </c>
      <c r="M133">
        <v>-3</v>
      </c>
      <c r="N133">
        <v>-8</v>
      </c>
      <c r="O133">
        <v>-8</v>
      </c>
    </row>
    <row r="134" spans="1:15" x14ac:dyDescent="0.3">
      <c r="A134" s="1">
        <v>41770</v>
      </c>
      <c r="B134">
        <v>200407</v>
      </c>
      <c r="C134">
        <v>215908</v>
      </c>
      <c r="D134">
        <v>6173</v>
      </c>
      <c r="E134">
        <v>2014</v>
      </c>
      <c r="F134">
        <v>5</v>
      </c>
      <c r="G134" t="s">
        <v>27</v>
      </c>
      <c r="H134">
        <v>2</v>
      </c>
      <c r="I134">
        <v>11</v>
      </c>
      <c r="J134" t="s">
        <v>23</v>
      </c>
      <c r="K134">
        <v>32</v>
      </c>
      <c r="L134">
        <v>-15501</v>
      </c>
      <c r="M134">
        <v>-3</v>
      </c>
      <c r="N134">
        <v>-8</v>
      </c>
      <c r="O134">
        <v>-8</v>
      </c>
    </row>
    <row r="135" spans="1:15" x14ac:dyDescent="0.3">
      <c r="A135" s="1">
        <v>41771</v>
      </c>
      <c r="B135">
        <v>183414</v>
      </c>
      <c r="C135">
        <v>197835</v>
      </c>
      <c r="D135">
        <v>5653</v>
      </c>
      <c r="E135">
        <v>2014</v>
      </c>
      <c r="F135">
        <v>5</v>
      </c>
      <c r="G135" t="s">
        <v>27</v>
      </c>
      <c r="H135">
        <v>2</v>
      </c>
      <c r="I135">
        <v>12</v>
      </c>
      <c r="J135" t="s">
        <v>16</v>
      </c>
      <c r="K135">
        <v>32</v>
      </c>
      <c r="L135">
        <v>-14422</v>
      </c>
      <c r="M135">
        <v>-3</v>
      </c>
      <c r="N135">
        <v>-8</v>
      </c>
      <c r="O135">
        <v>-8</v>
      </c>
    </row>
    <row r="136" spans="1:15" x14ac:dyDescent="0.3">
      <c r="A136" s="1">
        <v>41772</v>
      </c>
      <c r="B136">
        <v>146167</v>
      </c>
      <c r="C136">
        <v>157693</v>
      </c>
      <c r="D136">
        <v>4503</v>
      </c>
      <c r="E136">
        <v>2014</v>
      </c>
      <c r="F136">
        <v>5</v>
      </c>
      <c r="G136" t="s">
        <v>27</v>
      </c>
      <c r="H136">
        <v>2</v>
      </c>
      <c r="I136">
        <v>13</v>
      </c>
      <c r="J136" t="s">
        <v>17</v>
      </c>
      <c r="K136">
        <v>32</v>
      </c>
      <c r="L136">
        <v>-11527</v>
      </c>
      <c r="M136">
        <v>-3</v>
      </c>
      <c r="N136">
        <v>-8</v>
      </c>
      <c r="O136">
        <v>-8</v>
      </c>
    </row>
    <row r="137" spans="1:15" x14ac:dyDescent="0.3">
      <c r="A137" s="1">
        <v>41773</v>
      </c>
      <c r="B137">
        <v>201121</v>
      </c>
      <c r="C137">
        <v>218099</v>
      </c>
      <c r="D137">
        <v>6253</v>
      </c>
      <c r="E137">
        <v>2014</v>
      </c>
      <c r="F137">
        <v>5</v>
      </c>
      <c r="G137" t="s">
        <v>27</v>
      </c>
      <c r="H137">
        <v>2</v>
      </c>
      <c r="I137">
        <v>14</v>
      </c>
      <c r="J137" t="s">
        <v>19</v>
      </c>
      <c r="K137">
        <v>32</v>
      </c>
      <c r="L137">
        <v>-16978</v>
      </c>
      <c r="M137">
        <v>-3</v>
      </c>
      <c r="N137">
        <v>-8</v>
      </c>
      <c r="O137">
        <v>-8</v>
      </c>
    </row>
    <row r="138" spans="1:15" x14ac:dyDescent="0.3">
      <c r="A138" s="1">
        <v>41774</v>
      </c>
      <c r="B138">
        <v>270124</v>
      </c>
      <c r="C138">
        <v>289865</v>
      </c>
      <c r="D138">
        <v>8408</v>
      </c>
      <c r="E138">
        <v>2014</v>
      </c>
      <c r="F138">
        <v>5</v>
      </c>
      <c r="G138" t="s">
        <v>27</v>
      </c>
      <c r="H138">
        <v>2</v>
      </c>
      <c r="I138">
        <v>15</v>
      </c>
      <c r="J138" t="s">
        <v>20</v>
      </c>
      <c r="K138">
        <v>32</v>
      </c>
      <c r="L138">
        <v>-19741</v>
      </c>
      <c r="M138">
        <v>-2</v>
      </c>
      <c r="N138">
        <v>-7</v>
      </c>
      <c r="O138">
        <v>-7</v>
      </c>
    </row>
    <row r="139" spans="1:15" x14ac:dyDescent="0.3">
      <c r="A139" s="1">
        <v>41775</v>
      </c>
      <c r="B139">
        <v>415315</v>
      </c>
      <c r="C139">
        <v>441791</v>
      </c>
      <c r="D139">
        <v>12949</v>
      </c>
      <c r="E139">
        <v>2014</v>
      </c>
      <c r="F139">
        <v>5</v>
      </c>
      <c r="G139" t="s">
        <v>27</v>
      </c>
      <c r="H139">
        <v>2</v>
      </c>
      <c r="I139">
        <v>16</v>
      </c>
      <c r="J139" t="s">
        <v>21</v>
      </c>
      <c r="K139">
        <v>32</v>
      </c>
      <c r="L139">
        <v>-26475</v>
      </c>
      <c r="M139">
        <v>-2</v>
      </c>
      <c r="N139">
        <v>-6</v>
      </c>
      <c r="O139">
        <v>-6</v>
      </c>
    </row>
    <row r="140" spans="1:15" x14ac:dyDescent="0.3">
      <c r="A140" s="1">
        <v>41776</v>
      </c>
      <c r="B140">
        <v>498717</v>
      </c>
      <c r="C140">
        <v>526707</v>
      </c>
      <c r="D140">
        <v>15508</v>
      </c>
      <c r="E140">
        <v>2014</v>
      </c>
      <c r="F140">
        <v>5</v>
      </c>
      <c r="G140" t="s">
        <v>27</v>
      </c>
      <c r="H140">
        <v>2</v>
      </c>
      <c r="I140">
        <v>17</v>
      </c>
      <c r="J140" t="s">
        <v>22</v>
      </c>
      <c r="K140">
        <v>32</v>
      </c>
      <c r="L140">
        <v>-27990</v>
      </c>
      <c r="M140">
        <v>-2</v>
      </c>
      <c r="N140">
        <v>-6</v>
      </c>
      <c r="O140">
        <v>-6</v>
      </c>
    </row>
    <row r="141" spans="1:15" x14ac:dyDescent="0.3">
      <c r="A141" s="1">
        <v>41777</v>
      </c>
      <c r="B141">
        <v>166433</v>
      </c>
      <c r="C141">
        <v>174377</v>
      </c>
      <c r="D141">
        <v>5141</v>
      </c>
      <c r="E141">
        <v>2014</v>
      </c>
      <c r="F141">
        <v>5</v>
      </c>
      <c r="G141" t="s">
        <v>27</v>
      </c>
      <c r="H141">
        <v>2</v>
      </c>
      <c r="I141">
        <v>18</v>
      </c>
      <c r="J141" t="s">
        <v>23</v>
      </c>
      <c r="K141">
        <v>32</v>
      </c>
      <c r="L141">
        <v>-7943</v>
      </c>
      <c r="M141">
        <v>-2</v>
      </c>
      <c r="N141">
        <v>-5</v>
      </c>
      <c r="O141">
        <v>-5</v>
      </c>
    </row>
    <row r="142" spans="1:15" x14ac:dyDescent="0.3">
      <c r="A142" s="1">
        <v>41778</v>
      </c>
      <c r="B142">
        <v>168521</v>
      </c>
      <c r="C142">
        <v>175540</v>
      </c>
      <c r="D142">
        <v>5194</v>
      </c>
      <c r="E142">
        <v>2014</v>
      </c>
      <c r="F142">
        <v>5</v>
      </c>
      <c r="G142" t="s">
        <v>27</v>
      </c>
      <c r="H142">
        <v>2</v>
      </c>
      <c r="I142">
        <v>19</v>
      </c>
      <c r="J142" t="s">
        <v>16</v>
      </c>
      <c r="K142">
        <v>32</v>
      </c>
      <c r="L142">
        <v>-7019</v>
      </c>
      <c r="M142">
        <v>-1</v>
      </c>
      <c r="N142">
        <v>-4</v>
      </c>
      <c r="O142">
        <v>-4</v>
      </c>
    </row>
    <row r="143" spans="1:15" x14ac:dyDescent="0.3">
      <c r="A143" s="1">
        <v>41779</v>
      </c>
      <c r="B143">
        <v>178124</v>
      </c>
      <c r="C143">
        <v>187748</v>
      </c>
      <c r="D143">
        <v>5550</v>
      </c>
      <c r="E143">
        <v>2014</v>
      </c>
      <c r="F143">
        <v>5</v>
      </c>
      <c r="G143" t="s">
        <v>27</v>
      </c>
      <c r="H143">
        <v>2</v>
      </c>
      <c r="I143">
        <v>20</v>
      </c>
      <c r="J143" t="s">
        <v>17</v>
      </c>
      <c r="K143">
        <v>32</v>
      </c>
      <c r="L143">
        <v>-9625</v>
      </c>
      <c r="M143">
        <v>-2</v>
      </c>
      <c r="N143">
        <v>-5</v>
      </c>
      <c r="O143">
        <v>-5</v>
      </c>
    </row>
    <row r="144" spans="1:15" x14ac:dyDescent="0.3">
      <c r="A144" s="1">
        <v>41780</v>
      </c>
      <c r="B144">
        <v>194879</v>
      </c>
      <c r="C144">
        <v>204461</v>
      </c>
      <c r="D144">
        <v>6070</v>
      </c>
      <c r="E144">
        <v>2014</v>
      </c>
      <c r="F144">
        <v>5</v>
      </c>
      <c r="G144" t="s">
        <v>27</v>
      </c>
      <c r="H144">
        <v>2</v>
      </c>
      <c r="I144">
        <v>21</v>
      </c>
      <c r="J144" t="s">
        <v>19</v>
      </c>
      <c r="K144">
        <v>32</v>
      </c>
      <c r="L144">
        <v>-9582</v>
      </c>
      <c r="M144">
        <v>-2</v>
      </c>
      <c r="N144">
        <v>-5</v>
      </c>
      <c r="O144">
        <v>-5</v>
      </c>
    </row>
    <row r="145" spans="1:15" x14ac:dyDescent="0.3">
      <c r="A145" s="1">
        <v>41781</v>
      </c>
      <c r="B145">
        <v>115475</v>
      </c>
      <c r="C145">
        <v>115011</v>
      </c>
      <c r="D145">
        <v>3421</v>
      </c>
      <c r="E145">
        <v>2014</v>
      </c>
      <c r="F145">
        <v>5</v>
      </c>
      <c r="G145" t="s">
        <v>27</v>
      </c>
      <c r="H145">
        <v>2</v>
      </c>
      <c r="I145">
        <v>22</v>
      </c>
      <c r="J145" t="s">
        <v>20</v>
      </c>
      <c r="K145">
        <v>34</v>
      </c>
      <c r="L145">
        <v>464</v>
      </c>
      <c r="M145">
        <v>0</v>
      </c>
      <c r="N145">
        <v>0</v>
      </c>
      <c r="O145">
        <v>0</v>
      </c>
    </row>
    <row r="146" spans="1:15" x14ac:dyDescent="0.3">
      <c r="A146" s="1">
        <v>41782</v>
      </c>
      <c r="B146">
        <v>430521</v>
      </c>
      <c r="C146">
        <v>449274</v>
      </c>
      <c r="D146">
        <v>13384</v>
      </c>
      <c r="E146">
        <v>2014</v>
      </c>
      <c r="F146">
        <v>5</v>
      </c>
      <c r="G146" t="s">
        <v>27</v>
      </c>
      <c r="H146">
        <v>2</v>
      </c>
      <c r="I146">
        <v>23</v>
      </c>
      <c r="J146" t="s">
        <v>21</v>
      </c>
      <c r="K146">
        <v>32</v>
      </c>
      <c r="L146">
        <v>-18753</v>
      </c>
      <c r="M146">
        <v>-1</v>
      </c>
      <c r="N146">
        <v>-4</v>
      </c>
      <c r="O146">
        <v>-4</v>
      </c>
    </row>
    <row r="147" spans="1:15" x14ac:dyDescent="0.3">
      <c r="A147" s="1">
        <v>41783</v>
      </c>
      <c r="B147">
        <v>590643</v>
      </c>
      <c r="C147">
        <v>614246</v>
      </c>
      <c r="D147">
        <v>18356</v>
      </c>
      <c r="E147">
        <v>2014</v>
      </c>
      <c r="F147">
        <v>5</v>
      </c>
      <c r="G147" t="s">
        <v>27</v>
      </c>
      <c r="H147">
        <v>2</v>
      </c>
      <c r="I147">
        <v>24</v>
      </c>
      <c r="J147" t="s">
        <v>22</v>
      </c>
      <c r="K147">
        <v>32</v>
      </c>
      <c r="L147">
        <v>-23603</v>
      </c>
      <c r="M147">
        <v>-1</v>
      </c>
      <c r="N147">
        <v>-4</v>
      </c>
      <c r="O147">
        <v>-4</v>
      </c>
    </row>
    <row r="148" spans="1:15" x14ac:dyDescent="0.3">
      <c r="A148" s="1">
        <v>41784</v>
      </c>
      <c r="B148">
        <v>210765</v>
      </c>
      <c r="C148">
        <v>217364</v>
      </c>
      <c r="D148">
        <v>6500</v>
      </c>
      <c r="E148">
        <v>2014</v>
      </c>
      <c r="F148">
        <v>5</v>
      </c>
      <c r="G148" t="s">
        <v>27</v>
      </c>
      <c r="H148">
        <v>2</v>
      </c>
      <c r="I148">
        <v>25</v>
      </c>
      <c r="J148" t="s">
        <v>23</v>
      </c>
      <c r="K148">
        <v>32</v>
      </c>
      <c r="L148">
        <v>-6600</v>
      </c>
      <c r="M148">
        <v>-1</v>
      </c>
      <c r="N148">
        <v>-3</v>
      </c>
      <c r="O148">
        <v>-3</v>
      </c>
    </row>
    <row r="149" spans="1:15" x14ac:dyDescent="0.3">
      <c r="A149" s="1">
        <v>41785</v>
      </c>
      <c r="B149">
        <v>218189</v>
      </c>
      <c r="C149">
        <v>225608</v>
      </c>
      <c r="D149">
        <v>6752</v>
      </c>
      <c r="E149">
        <v>2014</v>
      </c>
      <c r="F149">
        <v>5</v>
      </c>
      <c r="G149" t="s">
        <v>27</v>
      </c>
      <c r="H149">
        <v>2</v>
      </c>
      <c r="I149">
        <v>26</v>
      </c>
      <c r="J149" t="s">
        <v>16</v>
      </c>
      <c r="K149">
        <v>32</v>
      </c>
      <c r="L149">
        <v>-7418</v>
      </c>
      <c r="M149">
        <v>-1</v>
      </c>
      <c r="N149">
        <v>-3</v>
      </c>
      <c r="O149">
        <v>-3</v>
      </c>
    </row>
    <row r="150" spans="1:15" x14ac:dyDescent="0.3">
      <c r="A150" s="1">
        <v>41786</v>
      </c>
      <c r="B150">
        <v>226132</v>
      </c>
      <c r="C150">
        <v>234497</v>
      </c>
      <c r="D150">
        <v>7023</v>
      </c>
      <c r="E150">
        <v>2014</v>
      </c>
      <c r="F150">
        <v>5</v>
      </c>
      <c r="G150" t="s">
        <v>27</v>
      </c>
      <c r="H150">
        <v>2</v>
      </c>
      <c r="I150">
        <v>27</v>
      </c>
      <c r="J150" t="s">
        <v>17</v>
      </c>
      <c r="K150">
        <v>32</v>
      </c>
      <c r="L150">
        <v>-8364</v>
      </c>
      <c r="M150">
        <v>-1</v>
      </c>
      <c r="N150">
        <v>-4</v>
      </c>
      <c r="O150">
        <v>-4</v>
      </c>
    </row>
    <row r="151" spans="1:15" x14ac:dyDescent="0.3">
      <c r="A151" s="1">
        <v>41787</v>
      </c>
      <c r="B151">
        <v>243721</v>
      </c>
      <c r="C151">
        <v>252929</v>
      </c>
      <c r="D151">
        <v>7579</v>
      </c>
      <c r="E151">
        <v>2014</v>
      </c>
      <c r="F151">
        <v>5</v>
      </c>
      <c r="G151" t="s">
        <v>27</v>
      </c>
      <c r="H151">
        <v>2</v>
      </c>
      <c r="I151">
        <v>28</v>
      </c>
      <c r="J151" t="s">
        <v>19</v>
      </c>
      <c r="K151">
        <v>32</v>
      </c>
      <c r="L151">
        <v>-9208</v>
      </c>
      <c r="M151">
        <v>-1</v>
      </c>
      <c r="N151">
        <v>-4</v>
      </c>
      <c r="O151">
        <v>-4</v>
      </c>
    </row>
    <row r="152" spans="1:15" x14ac:dyDescent="0.3">
      <c r="A152" s="1">
        <v>41788</v>
      </c>
      <c r="B152">
        <v>207429</v>
      </c>
      <c r="C152">
        <v>215119</v>
      </c>
      <c r="D152">
        <v>6448</v>
      </c>
      <c r="E152">
        <v>2014</v>
      </c>
      <c r="F152">
        <v>5</v>
      </c>
      <c r="G152" t="s">
        <v>27</v>
      </c>
      <c r="H152">
        <v>2</v>
      </c>
      <c r="I152">
        <v>29</v>
      </c>
      <c r="J152" t="s">
        <v>20</v>
      </c>
      <c r="K152">
        <v>32</v>
      </c>
      <c r="L152">
        <v>-7689</v>
      </c>
      <c r="M152">
        <v>-1</v>
      </c>
      <c r="N152">
        <v>-4</v>
      </c>
      <c r="O152">
        <v>-4</v>
      </c>
    </row>
    <row r="153" spans="1:15" x14ac:dyDescent="0.3">
      <c r="A153" s="1">
        <v>41789</v>
      </c>
      <c r="B153">
        <v>503149</v>
      </c>
      <c r="C153">
        <v>521651</v>
      </c>
      <c r="D153">
        <v>15637</v>
      </c>
      <c r="E153">
        <v>2014</v>
      </c>
      <c r="F153">
        <v>5</v>
      </c>
      <c r="G153" t="s">
        <v>27</v>
      </c>
      <c r="H153">
        <v>2</v>
      </c>
      <c r="I153">
        <v>30</v>
      </c>
      <c r="J153" t="s">
        <v>21</v>
      </c>
      <c r="K153">
        <v>32</v>
      </c>
      <c r="L153">
        <v>-18502</v>
      </c>
      <c r="M153">
        <v>-1</v>
      </c>
      <c r="N153">
        <v>-4</v>
      </c>
      <c r="O153">
        <v>-4</v>
      </c>
    </row>
    <row r="154" spans="1:15" x14ac:dyDescent="0.3">
      <c r="A154" s="1">
        <v>41790</v>
      </c>
      <c r="B154">
        <v>603749</v>
      </c>
      <c r="C154">
        <v>626259</v>
      </c>
      <c r="D154">
        <v>18775</v>
      </c>
      <c r="E154">
        <v>2014</v>
      </c>
      <c r="F154">
        <v>5</v>
      </c>
      <c r="G154" t="s">
        <v>27</v>
      </c>
      <c r="H154">
        <v>2</v>
      </c>
      <c r="I154">
        <v>31</v>
      </c>
      <c r="J154" t="s">
        <v>22</v>
      </c>
      <c r="K154">
        <v>32</v>
      </c>
      <c r="L154">
        <v>-22511</v>
      </c>
      <c r="M154">
        <v>-1</v>
      </c>
      <c r="N154">
        <v>-4</v>
      </c>
      <c r="O154">
        <v>-4</v>
      </c>
    </row>
    <row r="155" spans="1:15" x14ac:dyDescent="0.3">
      <c r="A155" s="1">
        <v>41791</v>
      </c>
      <c r="B155">
        <v>456017</v>
      </c>
      <c r="C155">
        <v>473224</v>
      </c>
      <c r="D155">
        <v>14188</v>
      </c>
      <c r="E155">
        <v>2014</v>
      </c>
      <c r="F155">
        <v>6</v>
      </c>
      <c r="G155" t="s">
        <v>28</v>
      </c>
      <c r="H155">
        <v>2</v>
      </c>
      <c r="I155">
        <v>1</v>
      </c>
      <c r="J155" t="s">
        <v>23</v>
      </c>
      <c r="K155">
        <v>32</v>
      </c>
      <c r="L155">
        <v>-17207</v>
      </c>
      <c r="M155">
        <v>-1</v>
      </c>
      <c r="N155">
        <v>-4</v>
      </c>
      <c r="O155">
        <v>-4</v>
      </c>
    </row>
    <row r="156" spans="1:15" x14ac:dyDescent="0.3">
      <c r="A156" s="1">
        <v>41792</v>
      </c>
      <c r="B156">
        <v>425845</v>
      </c>
      <c r="C156">
        <v>442156</v>
      </c>
      <c r="D156">
        <v>13256</v>
      </c>
      <c r="E156">
        <v>2014</v>
      </c>
      <c r="F156">
        <v>6</v>
      </c>
      <c r="G156" t="s">
        <v>28</v>
      </c>
      <c r="H156">
        <v>2</v>
      </c>
      <c r="I156">
        <v>2</v>
      </c>
      <c r="J156" t="s">
        <v>16</v>
      </c>
      <c r="K156">
        <v>32</v>
      </c>
      <c r="L156">
        <v>-16311</v>
      </c>
      <c r="M156">
        <v>-1</v>
      </c>
      <c r="N156">
        <v>-4</v>
      </c>
      <c r="O156">
        <v>-4</v>
      </c>
    </row>
    <row r="157" spans="1:15" x14ac:dyDescent="0.3">
      <c r="A157" s="1">
        <v>41793</v>
      </c>
      <c r="B157">
        <v>328218</v>
      </c>
      <c r="C157">
        <v>340914</v>
      </c>
      <c r="D157">
        <v>10223</v>
      </c>
      <c r="E157">
        <v>2014</v>
      </c>
      <c r="F157">
        <v>6</v>
      </c>
      <c r="G157" t="s">
        <v>28</v>
      </c>
      <c r="H157">
        <v>2</v>
      </c>
      <c r="I157">
        <v>3</v>
      </c>
      <c r="J157" t="s">
        <v>17</v>
      </c>
      <c r="K157">
        <v>32</v>
      </c>
      <c r="L157">
        <v>-12696</v>
      </c>
      <c r="M157">
        <v>-1</v>
      </c>
      <c r="N157">
        <v>-4</v>
      </c>
      <c r="O157">
        <v>-4</v>
      </c>
    </row>
    <row r="158" spans="1:15" x14ac:dyDescent="0.3">
      <c r="A158" s="1">
        <v>41794</v>
      </c>
      <c r="B158">
        <v>286406</v>
      </c>
      <c r="C158">
        <v>296903</v>
      </c>
      <c r="D158">
        <v>8904</v>
      </c>
      <c r="E158">
        <v>2014</v>
      </c>
      <c r="F158">
        <v>6</v>
      </c>
      <c r="G158" t="s">
        <v>28</v>
      </c>
      <c r="H158">
        <v>2</v>
      </c>
      <c r="I158">
        <v>4</v>
      </c>
      <c r="J158" t="s">
        <v>19</v>
      </c>
      <c r="K158">
        <v>32</v>
      </c>
      <c r="L158">
        <v>-10497</v>
      </c>
      <c r="M158">
        <v>-1</v>
      </c>
      <c r="N158">
        <v>-4</v>
      </c>
      <c r="O158">
        <v>-4</v>
      </c>
    </row>
    <row r="159" spans="1:15" x14ac:dyDescent="0.3">
      <c r="A159" s="1">
        <v>41795</v>
      </c>
      <c r="B159">
        <v>184990</v>
      </c>
      <c r="C159">
        <v>192825</v>
      </c>
      <c r="D159">
        <v>5783</v>
      </c>
      <c r="E159">
        <v>2014</v>
      </c>
      <c r="F159">
        <v>6</v>
      </c>
      <c r="G159" t="s">
        <v>28</v>
      </c>
      <c r="H159">
        <v>2</v>
      </c>
      <c r="I159">
        <v>5</v>
      </c>
      <c r="J159" t="s">
        <v>20</v>
      </c>
      <c r="K159">
        <v>32</v>
      </c>
      <c r="L159">
        <v>-7835</v>
      </c>
      <c r="M159">
        <v>-1</v>
      </c>
      <c r="N159">
        <v>-4</v>
      </c>
      <c r="O159">
        <v>-4</v>
      </c>
    </row>
    <row r="160" spans="1:15" x14ac:dyDescent="0.3">
      <c r="A160" s="1">
        <v>41796</v>
      </c>
      <c r="B160">
        <v>288118</v>
      </c>
      <c r="C160">
        <v>300214</v>
      </c>
      <c r="D160">
        <v>9005</v>
      </c>
      <c r="E160">
        <v>2014</v>
      </c>
      <c r="F160">
        <v>6</v>
      </c>
      <c r="G160" t="s">
        <v>28</v>
      </c>
      <c r="H160">
        <v>2</v>
      </c>
      <c r="I160">
        <v>6</v>
      </c>
      <c r="J160" t="s">
        <v>21</v>
      </c>
      <c r="K160">
        <v>32</v>
      </c>
      <c r="L160">
        <v>-12095</v>
      </c>
      <c r="M160">
        <v>-1</v>
      </c>
      <c r="N160">
        <v>-4</v>
      </c>
      <c r="O160">
        <v>-4</v>
      </c>
    </row>
    <row r="161" spans="1:15" x14ac:dyDescent="0.3">
      <c r="A161" s="1">
        <v>41797</v>
      </c>
      <c r="B161">
        <v>391931</v>
      </c>
      <c r="C161">
        <v>407439</v>
      </c>
      <c r="D161">
        <v>12222</v>
      </c>
      <c r="E161">
        <v>2014</v>
      </c>
      <c r="F161">
        <v>6</v>
      </c>
      <c r="G161" t="s">
        <v>28</v>
      </c>
      <c r="H161">
        <v>2</v>
      </c>
      <c r="I161">
        <v>7</v>
      </c>
      <c r="J161" t="s">
        <v>22</v>
      </c>
      <c r="K161">
        <v>32</v>
      </c>
      <c r="L161">
        <v>-15508</v>
      </c>
      <c r="M161">
        <v>-1</v>
      </c>
      <c r="N161">
        <v>-4</v>
      </c>
      <c r="O161">
        <v>-4</v>
      </c>
    </row>
    <row r="162" spans="1:15" x14ac:dyDescent="0.3">
      <c r="A162" s="1">
        <v>41798</v>
      </c>
      <c r="B162">
        <v>193773</v>
      </c>
      <c r="C162">
        <v>201255</v>
      </c>
      <c r="D162">
        <v>6037</v>
      </c>
      <c r="E162">
        <v>2014</v>
      </c>
      <c r="F162">
        <v>6</v>
      </c>
      <c r="G162" t="s">
        <v>28</v>
      </c>
      <c r="H162">
        <v>2</v>
      </c>
      <c r="I162">
        <v>8</v>
      </c>
      <c r="J162" t="s">
        <v>23</v>
      </c>
      <c r="K162">
        <v>32</v>
      </c>
      <c r="L162">
        <v>-7482</v>
      </c>
      <c r="M162">
        <v>-1</v>
      </c>
      <c r="N162">
        <v>-4</v>
      </c>
      <c r="O162">
        <v>-4</v>
      </c>
    </row>
    <row r="163" spans="1:15" x14ac:dyDescent="0.3">
      <c r="A163" s="1">
        <v>41799</v>
      </c>
      <c r="B163">
        <v>214178</v>
      </c>
      <c r="C163">
        <v>220255</v>
      </c>
      <c r="D163">
        <v>6607</v>
      </c>
      <c r="E163">
        <v>2014</v>
      </c>
      <c r="F163">
        <v>6</v>
      </c>
      <c r="G163" t="s">
        <v>28</v>
      </c>
      <c r="H163">
        <v>2</v>
      </c>
      <c r="I163">
        <v>9</v>
      </c>
      <c r="J163" t="s">
        <v>16</v>
      </c>
      <c r="K163">
        <v>32</v>
      </c>
      <c r="L163">
        <v>-6077</v>
      </c>
      <c r="M163">
        <v>-1</v>
      </c>
      <c r="N163">
        <v>-3</v>
      </c>
      <c r="O163">
        <v>-3</v>
      </c>
    </row>
    <row r="164" spans="1:15" x14ac:dyDescent="0.3">
      <c r="A164" s="1">
        <v>41800</v>
      </c>
      <c r="B164">
        <v>188335</v>
      </c>
      <c r="C164">
        <v>195255</v>
      </c>
      <c r="D164">
        <v>5857</v>
      </c>
      <c r="E164">
        <v>2014</v>
      </c>
      <c r="F164">
        <v>6</v>
      </c>
      <c r="G164" t="s">
        <v>28</v>
      </c>
      <c r="H164">
        <v>2</v>
      </c>
      <c r="I164">
        <v>10</v>
      </c>
      <c r="J164" t="s">
        <v>17</v>
      </c>
      <c r="K164">
        <v>32</v>
      </c>
      <c r="L164">
        <v>-6920</v>
      </c>
      <c r="M164">
        <v>-1</v>
      </c>
      <c r="N164">
        <v>-4</v>
      </c>
      <c r="O164">
        <v>-4</v>
      </c>
    </row>
    <row r="165" spans="1:15" x14ac:dyDescent="0.3">
      <c r="A165" s="1">
        <v>41801</v>
      </c>
      <c r="B165">
        <v>174325</v>
      </c>
      <c r="C165">
        <v>180979</v>
      </c>
      <c r="D165">
        <v>5429</v>
      </c>
      <c r="E165">
        <v>2014</v>
      </c>
      <c r="F165">
        <v>6</v>
      </c>
      <c r="G165" t="s">
        <v>28</v>
      </c>
      <c r="H165">
        <v>2</v>
      </c>
      <c r="I165">
        <v>11</v>
      </c>
      <c r="J165" t="s">
        <v>19</v>
      </c>
      <c r="K165">
        <v>32</v>
      </c>
      <c r="L165">
        <v>-6654</v>
      </c>
      <c r="M165">
        <v>-1</v>
      </c>
      <c r="N165">
        <v>-4</v>
      </c>
      <c r="O165">
        <v>-4</v>
      </c>
    </row>
    <row r="166" spans="1:15" x14ac:dyDescent="0.3">
      <c r="A166" s="1">
        <v>41802</v>
      </c>
      <c r="B166">
        <v>200272</v>
      </c>
      <c r="C166">
        <v>207758</v>
      </c>
      <c r="D166">
        <v>6232</v>
      </c>
      <c r="E166">
        <v>2014</v>
      </c>
      <c r="F166">
        <v>6</v>
      </c>
      <c r="G166" t="s">
        <v>28</v>
      </c>
      <c r="H166">
        <v>2</v>
      </c>
      <c r="I166">
        <v>12</v>
      </c>
      <c r="J166" t="s">
        <v>20</v>
      </c>
      <c r="K166">
        <v>32</v>
      </c>
      <c r="L166">
        <v>-7486</v>
      </c>
      <c r="M166">
        <v>-1</v>
      </c>
      <c r="N166">
        <v>-4</v>
      </c>
      <c r="O166">
        <v>-4</v>
      </c>
    </row>
    <row r="167" spans="1:15" x14ac:dyDescent="0.3">
      <c r="A167" s="1">
        <v>41803</v>
      </c>
      <c r="B167">
        <v>468702</v>
      </c>
      <c r="C167">
        <v>486181</v>
      </c>
      <c r="D167">
        <v>14585</v>
      </c>
      <c r="E167">
        <v>2014</v>
      </c>
      <c r="F167">
        <v>6</v>
      </c>
      <c r="G167" t="s">
        <v>28</v>
      </c>
      <c r="H167">
        <v>2</v>
      </c>
      <c r="I167">
        <v>13</v>
      </c>
      <c r="J167" t="s">
        <v>21</v>
      </c>
      <c r="K167">
        <v>32</v>
      </c>
      <c r="L167">
        <v>-17479</v>
      </c>
      <c r="M167">
        <v>-1</v>
      </c>
      <c r="N167">
        <v>-4</v>
      </c>
      <c r="O167">
        <v>-4</v>
      </c>
    </row>
    <row r="168" spans="1:15" x14ac:dyDescent="0.3">
      <c r="A168" s="1">
        <v>41804</v>
      </c>
      <c r="B168">
        <v>473426</v>
      </c>
      <c r="C168">
        <v>492135</v>
      </c>
      <c r="D168">
        <v>14745</v>
      </c>
      <c r="E168">
        <v>2014</v>
      </c>
      <c r="F168">
        <v>6</v>
      </c>
      <c r="G168" t="s">
        <v>28</v>
      </c>
      <c r="H168">
        <v>2</v>
      </c>
      <c r="I168">
        <v>14</v>
      </c>
      <c r="J168" t="s">
        <v>22</v>
      </c>
      <c r="K168">
        <v>32</v>
      </c>
      <c r="L168">
        <v>-18710</v>
      </c>
      <c r="M168">
        <v>-1</v>
      </c>
      <c r="N168">
        <v>-4</v>
      </c>
      <c r="O168">
        <v>-4</v>
      </c>
    </row>
    <row r="169" spans="1:15" x14ac:dyDescent="0.3">
      <c r="A169" s="1">
        <v>41805</v>
      </c>
      <c r="B169">
        <v>224232</v>
      </c>
      <c r="C169">
        <v>233554</v>
      </c>
      <c r="D169">
        <v>6991</v>
      </c>
      <c r="E169">
        <v>2014</v>
      </c>
      <c r="F169">
        <v>6</v>
      </c>
      <c r="G169" t="s">
        <v>28</v>
      </c>
      <c r="H169">
        <v>2</v>
      </c>
      <c r="I169">
        <v>15</v>
      </c>
      <c r="J169" t="s">
        <v>23</v>
      </c>
      <c r="K169">
        <v>32</v>
      </c>
      <c r="L169">
        <v>-9322</v>
      </c>
      <c r="M169">
        <v>-1</v>
      </c>
      <c r="N169">
        <v>-4</v>
      </c>
      <c r="O169">
        <v>-4</v>
      </c>
    </row>
    <row r="170" spans="1:15" x14ac:dyDescent="0.3">
      <c r="A170" s="1">
        <v>41806</v>
      </c>
      <c r="B170">
        <v>185606</v>
      </c>
      <c r="C170">
        <v>193340</v>
      </c>
      <c r="D170">
        <v>5788</v>
      </c>
      <c r="E170">
        <v>2014</v>
      </c>
      <c r="F170">
        <v>6</v>
      </c>
      <c r="G170" t="s">
        <v>28</v>
      </c>
      <c r="H170">
        <v>2</v>
      </c>
      <c r="I170">
        <v>16</v>
      </c>
      <c r="J170" t="s">
        <v>16</v>
      </c>
      <c r="K170">
        <v>32</v>
      </c>
      <c r="L170">
        <v>-7734</v>
      </c>
      <c r="M170">
        <v>-1</v>
      </c>
      <c r="N170">
        <v>-4</v>
      </c>
      <c r="O170">
        <v>-4</v>
      </c>
    </row>
    <row r="171" spans="1:15" x14ac:dyDescent="0.3">
      <c r="A171" s="1">
        <v>41807</v>
      </c>
      <c r="B171">
        <v>212688</v>
      </c>
      <c r="C171">
        <v>221404</v>
      </c>
      <c r="D171">
        <v>6632</v>
      </c>
      <c r="E171">
        <v>2014</v>
      </c>
      <c r="F171">
        <v>6</v>
      </c>
      <c r="G171" t="s">
        <v>28</v>
      </c>
      <c r="H171">
        <v>2</v>
      </c>
      <c r="I171">
        <v>17</v>
      </c>
      <c r="J171" t="s">
        <v>17</v>
      </c>
      <c r="K171">
        <v>32</v>
      </c>
      <c r="L171">
        <v>-8716</v>
      </c>
      <c r="M171">
        <v>-1</v>
      </c>
      <c r="N171">
        <v>-4</v>
      </c>
      <c r="O171">
        <v>-4</v>
      </c>
    </row>
    <row r="172" spans="1:15" x14ac:dyDescent="0.3">
      <c r="A172" s="1">
        <v>41808</v>
      </c>
      <c r="B172">
        <v>184260</v>
      </c>
      <c r="C172">
        <v>192058</v>
      </c>
      <c r="D172">
        <v>5752</v>
      </c>
      <c r="E172">
        <v>2014</v>
      </c>
      <c r="F172">
        <v>6</v>
      </c>
      <c r="G172" t="s">
        <v>28</v>
      </c>
      <c r="H172">
        <v>2</v>
      </c>
      <c r="I172">
        <v>18</v>
      </c>
      <c r="J172" t="s">
        <v>19</v>
      </c>
      <c r="K172">
        <v>32</v>
      </c>
      <c r="L172">
        <v>-7798</v>
      </c>
      <c r="M172">
        <v>-1</v>
      </c>
      <c r="N172">
        <v>-4</v>
      </c>
      <c r="O172">
        <v>-4</v>
      </c>
    </row>
    <row r="173" spans="1:15" x14ac:dyDescent="0.3">
      <c r="A173" s="1">
        <v>41809</v>
      </c>
      <c r="B173">
        <v>113736</v>
      </c>
      <c r="C173">
        <v>119544</v>
      </c>
      <c r="D173">
        <v>3578</v>
      </c>
      <c r="E173">
        <v>2014</v>
      </c>
      <c r="F173">
        <v>6</v>
      </c>
      <c r="G173" t="s">
        <v>28</v>
      </c>
      <c r="H173">
        <v>2</v>
      </c>
      <c r="I173">
        <v>19</v>
      </c>
      <c r="J173" t="s">
        <v>20</v>
      </c>
      <c r="K173">
        <v>32</v>
      </c>
      <c r="L173">
        <v>-5808</v>
      </c>
      <c r="M173">
        <v>-2</v>
      </c>
      <c r="N173">
        <v>-5</v>
      </c>
      <c r="O173">
        <v>-5</v>
      </c>
    </row>
    <row r="174" spans="1:15" x14ac:dyDescent="0.3">
      <c r="A174" s="1">
        <v>41810</v>
      </c>
      <c r="B174">
        <v>203165</v>
      </c>
      <c r="C174">
        <v>205351</v>
      </c>
      <c r="D174">
        <v>6119</v>
      </c>
      <c r="E174">
        <v>2014</v>
      </c>
      <c r="F174">
        <v>6</v>
      </c>
      <c r="G174" t="s">
        <v>28</v>
      </c>
      <c r="H174">
        <v>2</v>
      </c>
      <c r="I174">
        <v>20</v>
      </c>
      <c r="J174" t="s">
        <v>21</v>
      </c>
      <c r="K174">
        <v>33</v>
      </c>
      <c r="L174">
        <v>-2186</v>
      </c>
      <c r="M174">
        <v>0</v>
      </c>
      <c r="N174">
        <v>-1</v>
      </c>
      <c r="O174">
        <v>-1</v>
      </c>
    </row>
    <row r="175" spans="1:15" x14ac:dyDescent="0.3">
      <c r="A175" s="1">
        <v>41811</v>
      </c>
      <c r="B175">
        <v>203345</v>
      </c>
      <c r="C175">
        <v>206919</v>
      </c>
      <c r="D175">
        <v>6161</v>
      </c>
      <c r="E175">
        <v>2014</v>
      </c>
      <c r="F175">
        <v>6</v>
      </c>
      <c r="G175" t="s">
        <v>28</v>
      </c>
      <c r="H175">
        <v>2</v>
      </c>
      <c r="I175">
        <v>21</v>
      </c>
      <c r="J175" t="s">
        <v>22</v>
      </c>
      <c r="K175">
        <v>33</v>
      </c>
      <c r="L175">
        <v>-3574</v>
      </c>
      <c r="M175">
        <v>-1</v>
      </c>
      <c r="N175">
        <v>-2</v>
      </c>
      <c r="O175">
        <v>-2</v>
      </c>
    </row>
    <row r="176" spans="1:15" x14ac:dyDescent="0.3">
      <c r="A176" s="1">
        <v>41812</v>
      </c>
      <c r="B176">
        <v>134944</v>
      </c>
      <c r="C176">
        <v>135373</v>
      </c>
      <c r="D176">
        <v>4015</v>
      </c>
      <c r="E176">
        <v>2014</v>
      </c>
      <c r="F176">
        <v>6</v>
      </c>
      <c r="G176" t="s">
        <v>28</v>
      </c>
      <c r="H176">
        <v>2</v>
      </c>
      <c r="I176">
        <v>22</v>
      </c>
      <c r="J176" t="s">
        <v>23</v>
      </c>
      <c r="K176">
        <v>34</v>
      </c>
      <c r="L176">
        <v>-428</v>
      </c>
      <c r="M176">
        <v>0</v>
      </c>
      <c r="N176">
        <v>0</v>
      </c>
      <c r="O176">
        <v>0</v>
      </c>
    </row>
    <row r="177" spans="1:15" x14ac:dyDescent="0.3">
      <c r="A177" s="1">
        <v>41813</v>
      </c>
      <c r="B177">
        <v>138298</v>
      </c>
      <c r="C177">
        <v>139206</v>
      </c>
      <c r="D177">
        <v>4133</v>
      </c>
      <c r="E177">
        <v>2014</v>
      </c>
      <c r="F177">
        <v>6</v>
      </c>
      <c r="G177" t="s">
        <v>28</v>
      </c>
      <c r="H177">
        <v>2</v>
      </c>
      <c r="I177">
        <v>23</v>
      </c>
      <c r="J177" t="s">
        <v>16</v>
      </c>
      <c r="K177">
        <v>33</v>
      </c>
      <c r="L177">
        <v>-908</v>
      </c>
      <c r="M177">
        <v>0</v>
      </c>
      <c r="N177">
        <v>-1</v>
      </c>
      <c r="O177">
        <v>-1</v>
      </c>
    </row>
    <row r="178" spans="1:15" x14ac:dyDescent="0.3">
      <c r="A178" s="1">
        <v>41814</v>
      </c>
      <c r="B178">
        <v>36693</v>
      </c>
      <c r="C178">
        <v>35299</v>
      </c>
      <c r="D178">
        <v>1047</v>
      </c>
      <c r="E178">
        <v>2014</v>
      </c>
      <c r="F178">
        <v>6</v>
      </c>
      <c r="G178" t="s">
        <v>28</v>
      </c>
      <c r="H178">
        <v>2</v>
      </c>
      <c r="I178">
        <v>24</v>
      </c>
      <c r="J178" t="s">
        <v>17</v>
      </c>
      <c r="K178">
        <v>35</v>
      </c>
      <c r="L178">
        <v>1394</v>
      </c>
      <c r="M178">
        <v>1</v>
      </c>
      <c r="N178">
        <v>4</v>
      </c>
      <c r="O178">
        <v>4</v>
      </c>
    </row>
    <row r="179" spans="1:15" x14ac:dyDescent="0.3">
      <c r="A179" s="1">
        <v>41815</v>
      </c>
      <c r="B179">
        <v>56078</v>
      </c>
      <c r="C179">
        <v>53925</v>
      </c>
      <c r="D179">
        <v>1601</v>
      </c>
      <c r="E179">
        <v>2014</v>
      </c>
      <c r="F179">
        <v>6</v>
      </c>
      <c r="G179" t="s">
        <v>28</v>
      </c>
      <c r="H179">
        <v>2</v>
      </c>
      <c r="I179">
        <v>25</v>
      </c>
      <c r="J179" t="s">
        <v>19</v>
      </c>
      <c r="K179">
        <v>35</v>
      </c>
      <c r="L179">
        <v>2152</v>
      </c>
      <c r="M179">
        <v>1</v>
      </c>
      <c r="N179">
        <v>4</v>
      </c>
      <c r="O179">
        <v>4</v>
      </c>
    </row>
    <row r="180" spans="1:15" x14ac:dyDescent="0.3">
      <c r="A180" s="1">
        <v>41816</v>
      </c>
      <c r="B180">
        <v>55781</v>
      </c>
      <c r="C180">
        <v>53688</v>
      </c>
      <c r="D180">
        <v>1592</v>
      </c>
      <c r="E180">
        <v>2014</v>
      </c>
      <c r="F180">
        <v>6</v>
      </c>
      <c r="G180" t="s">
        <v>28</v>
      </c>
      <c r="H180">
        <v>2</v>
      </c>
      <c r="I180">
        <v>26</v>
      </c>
      <c r="J180" t="s">
        <v>20</v>
      </c>
      <c r="K180">
        <v>35</v>
      </c>
      <c r="L180">
        <v>2092</v>
      </c>
      <c r="M180">
        <v>1</v>
      </c>
      <c r="N180">
        <v>4</v>
      </c>
      <c r="O180">
        <v>4</v>
      </c>
    </row>
    <row r="181" spans="1:15" x14ac:dyDescent="0.3">
      <c r="A181" s="1">
        <v>41817</v>
      </c>
      <c r="B181">
        <v>131721</v>
      </c>
      <c r="C181">
        <v>127302</v>
      </c>
      <c r="D181">
        <v>3759</v>
      </c>
      <c r="E181">
        <v>2014</v>
      </c>
      <c r="F181">
        <v>6</v>
      </c>
      <c r="G181" t="s">
        <v>28</v>
      </c>
      <c r="H181">
        <v>2</v>
      </c>
      <c r="I181">
        <v>27</v>
      </c>
      <c r="J181" t="s">
        <v>21</v>
      </c>
      <c r="K181">
        <v>35</v>
      </c>
      <c r="L181">
        <v>4419</v>
      </c>
      <c r="M181">
        <v>1</v>
      </c>
      <c r="N181">
        <v>3</v>
      </c>
      <c r="O181">
        <v>3</v>
      </c>
    </row>
    <row r="182" spans="1:15" x14ac:dyDescent="0.3">
      <c r="A182" s="1">
        <v>41818</v>
      </c>
      <c r="B182">
        <v>146169</v>
      </c>
      <c r="C182">
        <v>141012</v>
      </c>
      <c r="D182">
        <v>4172</v>
      </c>
      <c r="E182">
        <v>2014</v>
      </c>
      <c r="F182">
        <v>6</v>
      </c>
      <c r="G182" t="s">
        <v>28</v>
      </c>
      <c r="H182">
        <v>2</v>
      </c>
      <c r="I182">
        <v>28</v>
      </c>
      <c r="J182" t="s">
        <v>22</v>
      </c>
      <c r="K182">
        <v>35</v>
      </c>
      <c r="L182">
        <v>5157</v>
      </c>
      <c r="M182">
        <v>1</v>
      </c>
      <c r="N182">
        <v>4</v>
      </c>
      <c r="O182">
        <v>4</v>
      </c>
    </row>
    <row r="183" spans="1:15" x14ac:dyDescent="0.3">
      <c r="A183" s="1">
        <v>41819</v>
      </c>
      <c r="B183">
        <v>62074</v>
      </c>
      <c r="C183">
        <v>60084</v>
      </c>
      <c r="D183">
        <v>1772</v>
      </c>
      <c r="E183">
        <v>2014</v>
      </c>
      <c r="F183">
        <v>6</v>
      </c>
      <c r="G183" t="s">
        <v>28</v>
      </c>
      <c r="H183">
        <v>2</v>
      </c>
      <c r="I183">
        <v>29</v>
      </c>
      <c r="J183" t="s">
        <v>23</v>
      </c>
      <c r="K183">
        <v>35</v>
      </c>
      <c r="L183">
        <v>1990</v>
      </c>
      <c r="M183">
        <v>1</v>
      </c>
      <c r="N183">
        <v>3</v>
      </c>
      <c r="O183">
        <v>3</v>
      </c>
    </row>
    <row r="184" spans="1:15" x14ac:dyDescent="0.3">
      <c r="A184" s="1">
        <v>41820</v>
      </c>
      <c r="B184">
        <v>93620</v>
      </c>
      <c r="C184">
        <v>90294</v>
      </c>
      <c r="D184">
        <v>2672</v>
      </c>
      <c r="E184">
        <v>2014</v>
      </c>
      <c r="F184">
        <v>6</v>
      </c>
      <c r="G184" t="s">
        <v>28</v>
      </c>
      <c r="H184">
        <v>2</v>
      </c>
      <c r="I184">
        <v>30</v>
      </c>
      <c r="J184" t="s">
        <v>16</v>
      </c>
      <c r="K184">
        <v>35</v>
      </c>
      <c r="L184">
        <v>3325</v>
      </c>
      <c r="M184">
        <v>1</v>
      </c>
      <c r="N184">
        <v>4</v>
      </c>
      <c r="O184">
        <v>4</v>
      </c>
    </row>
    <row r="185" spans="1:15" x14ac:dyDescent="0.3">
      <c r="A185" s="1">
        <v>41821</v>
      </c>
      <c r="B185">
        <v>180183</v>
      </c>
      <c r="C185">
        <v>173843</v>
      </c>
      <c r="D185">
        <v>5143</v>
      </c>
      <c r="E185">
        <v>2014</v>
      </c>
      <c r="F185">
        <v>7</v>
      </c>
      <c r="G185" t="s">
        <v>29</v>
      </c>
      <c r="H185">
        <v>3</v>
      </c>
      <c r="I185">
        <v>1</v>
      </c>
      <c r="J185" t="s">
        <v>17</v>
      </c>
      <c r="K185">
        <v>35</v>
      </c>
      <c r="L185">
        <v>6340</v>
      </c>
      <c r="M185">
        <v>1</v>
      </c>
      <c r="N185">
        <v>4</v>
      </c>
      <c r="O185">
        <v>4</v>
      </c>
    </row>
    <row r="186" spans="1:15" x14ac:dyDescent="0.3">
      <c r="A186" s="1">
        <v>41822</v>
      </c>
      <c r="B186">
        <v>104761</v>
      </c>
      <c r="C186">
        <v>101616</v>
      </c>
      <c r="D186">
        <v>2990</v>
      </c>
      <c r="E186">
        <v>2014</v>
      </c>
      <c r="F186">
        <v>7</v>
      </c>
      <c r="G186" t="s">
        <v>29</v>
      </c>
      <c r="H186">
        <v>3</v>
      </c>
      <c r="I186">
        <v>2</v>
      </c>
      <c r="J186" t="s">
        <v>19</v>
      </c>
      <c r="K186">
        <v>35</v>
      </c>
      <c r="L186">
        <v>3145</v>
      </c>
      <c r="M186">
        <v>1</v>
      </c>
      <c r="N186">
        <v>3</v>
      </c>
      <c r="O186">
        <v>3</v>
      </c>
    </row>
    <row r="187" spans="1:15" x14ac:dyDescent="0.3">
      <c r="A187" s="1">
        <v>41823</v>
      </c>
      <c r="B187">
        <v>93451</v>
      </c>
      <c r="C187">
        <v>90927</v>
      </c>
      <c r="D187">
        <v>2667</v>
      </c>
      <c r="E187">
        <v>2014</v>
      </c>
      <c r="F187">
        <v>7</v>
      </c>
      <c r="G187" t="s">
        <v>29</v>
      </c>
      <c r="H187">
        <v>3</v>
      </c>
      <c r="I187">
        <v>3</v>
      </c>
      <c r="J187" t="s">
        <v>20</v>
      </c>
      <c r="K187">
        <v>35</v>
      </c>
      <c r="L187">
        <v>2523</v>
      </c>
      <c r="M187">
        <v>1</v>
      </c>
      <c r="N187">
        <v>3</v>
      </c>
      <c r="O187">
        <v>3</v>
      </c>
    </row>
    <row r="188" spans="1:15" x14ac:dyDescent="0.3">
      <c r="A188" s="1">
        <v>41824</v>
      </c>
      <c r="B188">
        <v>98088</v>
      </c>
      <c r="C188">
        <v>95423</v>
      </c>
      <c r="D188">
        <v>2799</v>
      </c>
      <c r="E188">
        <v>2014</v>
      </c>
      <c r="F188">
        <v>7</v>
      </c>
      <c r="G188" t="s">
        <v>29</v>
      </c>
      <c r="H188">
        <v>3</v>
      </c>
      <c r="I188">
        <v>4</v>
      </c>
      <c r="J188" t="s">
        <v>21</v>
      </c>
      <c r="K188">
        <v>35</v>
      </c>
      <c r="L188">
        <v>2664</v>
      </c>
      <c r="M188">
        <v>1</v>
      </c>
      <c r="N188">
        <v>3</v>
      </c>
      <c r="O188">
        <v>3</v>
      </c>
    </row>
    <row r="189" spans="1:15" x14ac:dyDescent="0.3">
      <c r="A189" s="1">
        <v>41825</v>
      </c>
      <c r="B189">
        <v>117562</v>
      </c>
      <c r="C189">
        <v>114396</v>
      </c>
      <c r="D189">
        <v>3355</v>
      </c>
      <c r="E189">
        <v>2014</v>
      </c>
      <c r="F189">
        <v>7</v>
      </c>
      <c r="G189" t="s">
        <v>29</v>
      </c>
      <c r="H189">
        <v>3</v>
      </c>
      <c r="I189">
        <v>5</v>
      </c>
      <c r="J189" t="s">
        <v>22</v>
      </c>
      <c r="K189">
        <v>35</v>
      </c>
      <c r="L189">
        <v>3167</v>
      </c>
      <c r="M189">
        <v>1</v>
      </c>
      <c r="N189">
        <v>3</v>
      </c>
      <c r="O189">
        <v>3</v>
      </c>
    </row>
    <row r="190" spans="1:15" x14ac:dyDescent="0.3">
      <c r="A190" s="1">
        <v>41826</v>
      </c>
      <c r="B190">
        <v>70153</v>
      </c>
      <c r="C190">
        <v>68252</v>
      </c>
      <c r="D190">
        <v>2002</v>
      </c>
      <c r="E190">
        <v>2014</v>
      </c>
      <c r="F190">
        <v>7</v>
      </c>
      <c r="G190" t="s">
        <v>29</v>
      </c>
      <c r="H190">
        <v>3</v>
      </c>
      <c r="I190">
        <v>6</v>
      </c>
      <c r="J190" t="s">
        <v>23</v>
      </c>
      <c r="K190">
        <v>35</v>
      </c>
      <c r="L190">
        <v>1901</v>
      </c>
      <c r="M190">
        <v>1</v>
      </c>
      <c r="N190">
        <v>3</v>
      </c>
      <c r="O190">
        <v>3</v>
      </c>
    </row>
    <row r="191" spans="1:15" x14ac:dyDescent="0.3">
      <c r="A191" s="1">
        <v>41827</v>
      </c>
      <c r="B191">
        <v>68918</v>
      </c>
      <c r="C191">
        <v>66991</v>
      </c>
      <c r="D191">
        <v>1967</v>
      </c>
      <c r="E191">
        <v>2014</v>
      </c>
      <c r="F191">
        <v>7</v>
      </c>
      <c r="G191" t="s">
        <v>29</v>
      </c>
      <c r="H191">
        <v>3</v>
      </c>
      <c r="I191">
        <v>7</v>
      </c>
      <c r="J191" t="s">
        <v>16</v>
      </c>
      <c r="K191">
        <v>35</v>
      </c>
      <c r="L191">
        <v>1928</v>
      </c>
      <c r="M191">
        <v>1</v>
      </c>
      <c r="N191">
        <v>3</v>
      </c>
      <c r="O191">
        <v>3</v>
      </c>
    </row>
    <row r="192" spans="1:15" x14ac:dyDescent="0.3">
      <c r="A192" s="1">
        <v>41828</v>
      </c>
      <c r="B192">
        <v>108417</v>
      </c>
      <c r="C192">
        <v>105373</v>
      </c>
      <c r="D192">
        <v>3094</v>
      </c>
      <c r="E192">
        <v>2014</v>
      </c>
      <c r="F192">
        <v>7</v>
      </c>
      <c r="G192" t="s">
        <v>29</v>
      </c>
      <c r="H192">
        <v>3</v>
      </c>
      <c r="I192">
        <v>8</v>
      </c>
      <c r="J192" t="s">
        <v>17</v>
      </c>
      <c r="K192">
        <v>35</v>
      </c>
      <c r="L192">
        <v>3044</v>
      </c>
      <c r="M192">
        <v>1</v>
      </c>
      <c r="N192">
        <v>3</v>
      </c>
      <c r="O192">
        <v>3</v>
      </c>
    </row>
    <row r="193" spans="1:15" x14ac:dyDescent="0.3">
      <c r="A193" s="1">
        <v>41829</v>
      </c>
      <c r="B193">
        <v>81803</v>
      </c>
      <c r="C193">
        <v>79496</v>
      </c>
      <c r="D193">
        <v>2335</v>
      </c>
      <c r="E193">
        <v>2014</v>
      </c>
      <c r="F193">
        <v>7</v>
      </c>
      <c r="G193" t="s">
        <v>29</v>
      </c>
      <c r="H193">
        <v>3</v>
      </c>
      <c r="I193">
        <v>9</v>
      </c>
      <c r="J193" t="s">
        <v>19</v>
      </c>
      <c r="K193">
        <v>35</v>
      </c>
      <c r="L193">
        <v>2306</v>
      </c>
      <c r="M193">
        <v>1</v>
      </c>
      <c r="N193">
        <v>3</v>
      </c>
      <c r="O193">
        <v>3</v>
      </c>
    </row>
    <row r="194" spans="1:15" x14ac:dyDescent="0.3">
      <c r="A194" s="1">
        <v>41830</v>
      </c>
      <c r="B194">
        <v>103999</v>
      </c>
      <c r="C194">
        <v>101271</v>
      </c>
      <c r="D194">
        <v>2968</v>
      </c>
      <c r="E194">
        <v>2014</v>
      </c>
      <c r="F194">
        <v>7</v>
      </c>
      <c r="G194" t="s">
        <v>29</v>
      </c>
      <c r="H194">
        <v>3</v>
      </c>
      <c r="I194">
        <v>10</v>
      </c>
      <c r="J194" t="s">
        <v>20</v>
      </c>
      <c r="K194">
        <v>35</v>
      </c>
      <c r="L194">
        <v>2728</v>
      </c>
      <c r="M194">
        <v>1</v>
      </c>
      <c r="N194">
        <v>3</v>
      </c>
      <c r="O194">
        <v>3</v>
      </c>
    </row>
    <row r="195" spans="1:15" x14ac:dyDescent="0.3">
      <c r="A195" s="1">
        <v>41831</v>
      </c>
      <c r="B195">
        <v>134018</v>
      </c>
      <c r="C195">
        <v>130633</v>
      </c>
      <c r="D195">
        <v>3825</v>
      </c>
      <c r="E195">
        <v>2014</v>
      </c>
      <c r="F195">
        <v>7</v>
      </c>
      <c r="G195" t="s">
        <v>29</v>
      </c>
      <c r="H195">
        <v>3</v>
      </c>
      <c r="I195">
        <v>11</v>
      </c>
      <c r="J195" t="s">
        <v>21</v>
      </c>
      <c r="K195">
        <v>35</v>
      </c>
      <c r="L195">
        <v>3385</v>
      </c>
      <c r="M195">
        <v>1</v>
      </c>
      <c r="N195">
        <v>3</v>
      </c>
      <c r="O195">
        <v>3</v>
      </c>
    </row>
    <row r="196" spans="1:15" x14ac:dyDescent="0.3">
      <c r="A196" s="1">
        <v>41832</v>
      </c>
      <c r="B196">
        <v>99277</v>
      </c>
      <c r="C196">
        <v>96688</v>
      </c>
      <c r="D196">
        <v>2833</v>
      </c>
      <c r="E196">
        <v>2014</v>
      </c>
      <c r="F196">
        <v>7</v>
      </c>
      <c r="G196" t="s">
        <v>29</v>
      </c>
      <c r="H196">
        <v>3</v>
      </c>
      <c r="I196">
        <v>12</v>
      </c>
      <c r="J196" t="s">
        <v>22</v>
      </c>
      <c r="K196">
        <v>35</v>
      </c>
      <c r="L196">
        <v>2589</v>
      </c>
      <c r="M196">
        <v>1</v>
      </c>
      <c r="N196">
        <v>3</v>
      </c>
      <c r="O196">
        <v>3</v>
      </c>
    </row>
    <row r="197" spans="1:15" x14ac:dyDescent="0.3">
      <c r="A197" s="1">
        <v>41833</v>
      </c>
      <c r="B197">
        <v>49705</v>
      </c>
      <c r="C197">
        <v>48370</v>
      </c>
      <c r="D197">
        <v>1419</v>
      </c>
      <c r="E197">
        <v>2014</v>
      </c>
      <c r="F197">
        <v>7</v>
      </c>
      <c r="G197" t="s">
        <v>29</v>
      </c>
      <c r="H197">
        <v>3</v>
      </c>
      <c r="I197">
        <v>13</v>
      </c>
      <c r="J197" t="s">
        <v>23</v>
      </c>
      <c r="K197">
        <v>35</v>
      </c>
      <c r="L197">
        <v>1335</v>
      </c>
      <c r="M197">
        <v>1</v>
      </c>
      <c r="N197">
        <v>3</v>
      </c>
      <c r="O197">
        <v>3</v>
      </c>
    </row>
    <row r="198" spans="1:15" x14ac:dyDescent="0.3">
      <c r="A198" s="1">
        <v>41834</v>
      </c>
      <c r="B198">
        <v>75385</v>
      </c>
      <c r="C198">
        <v>73393</v>
      </c>
      <c r="D198">
        <v>2151</v>
      </c>
      <c r="E198">
        <v>2014</v>
      </c>
      <c r="F198">
        <v>7</v>
      </c>
      <c r="G198" t="s">
        <v>29</v>
      </c>
      <c r="H198">
        <v>3</v>
      </c>
      <c r="I198">
        <v>14</v>
      </c>
      <c r="J198" t="s">
        <v>16</v>
      </c>
      <c r="K198">
        <v>35</v>
      </c>
      <c r="L198">
        <v>1991</v>
      </c>
      <c r="M198">
        <v>1</v>
      </c>
      <c r="N198">
        <v>3</v>
      </c>
      <c r="O198">
        <v>3</v>
      </c>
    </row>
    <row r="199" spans="1:15" x14ac:dyDescent="0.3">
      <c r="A199" s="1">
        <v>41835</v>
      </c>
      <c r="B199">
        <v>110288</v>
      </c>
      <c r="C199">
        <v>107437</v>
      </c>
      <c r="D199">
        <v>3148</v>
      </c>
      <c r="E199">
        <v>2014</v>
      </c>
      <c r="F199">
        <v>7</v>
      </c>
      <c r="G199" t="s">
        <v>29</v>
      </c>
      <c r="H199">
        <v>3</v>
      </c>
      <c r="I199">
        <v>15</v>
      </c>
      <c r="J199" t="s">
        <v>17</v>
      </c>
      <c r="K199">
        <v>35</v>
      </c>
      <c r="L199">
        <v>2851</v>
      </c>
      <c r="M199">
        <v>1</v>
      </c>
      <c r="N199">
        <v>3</v>
      </c>
      <c r="O199">
        <v>3</v>
      </c>
    </row>
    <row r="200" spans="1:15" x14ac:dyDescent="0.3">
      <c r="A200" s="1">
        <v>41836</v>
      </c>
      <c r="B200">
        <v>156537</v>
      </c>
      <c r="C200">
        <v>164641</v>
      </c>
      <c r="D200">
        <v>4825</v>
      </c>
      <c r="E200">
        <v>2014</v>
      </c>
      <c r="F200">
        <v>7</v>
      </c>
      <c r="G200" t="s">
        <v>29</v>
      </c>
      <c r="H200">
        <v>3</v>
      </c>
      <c r="I200">
        <v>16</v>
      </c>
      <c r="J200" t="s">
        <v>19</v>
      </c>
      <c r="K200">
        <v>32</v>
      </c>
      <c r="L200">
        <v>-8105</v>
      </c>
      <c r="M200">
        <v>-2</v>
      </c>
      <c r="N200">
        <v>-5</v>
      </c>
      <c r="O200">
        <v>-5</v>
      </c>
    </row>
    <row r="201" spans="1:15" x14ac:dyDescent="0.3">
      <c r="A201" s="1">
        <v>41837</v>
      </c>
      <c r="B201">
        <v>80823</v>
      </c>
      <c r="C201">
        <v>78845</v>
      </c>
      <c r="D201">
        <v>2307</v>
      </c>
      <c r="E201">
        <v>2014</v>
      </c>
      <c r="F201">
        <v>7</v>
      </c>
      <c r="G201" t="s">
        <v>29</v>
      </c>
      <c r="H201">
        <v>3</v>
      </c>
      <c r="I201">
        <v>17</v>
      </c>
      <c r="J201" t="s">
        <v>20</v>
      </c>
      <c r="K201">
        <v>35</v>
      </c>
      <c r="L201">
        <v>1978</v>
      </c>
      <c r="M201">
        <v>1</v>
      </c>
      <c r="N201">
        <v>2</v>
      </c>
      <c r="O201">
        <v>2</v>
      </c>
    </row>
    <row r="202" spans="1:15" x14ac:dyDescent="0.3">
      <c r="A202" s="1">
        <v>41838</v>
      </c>
      <c r="B202">
        <v>124616</v>
      </c>
      <c r="C202">
        <v>121612</v>
      </c>
      <c r="D202">
        <v>3557</v>
      </c>
      <c r="E202">
        <v>2014</v>
      </c>
      <c r="F202">
        <v>7</v>
      </c>
      <c r="G202" t="s">
        <v>29</v>
      </c>
      <c r="H202">
        <v>3</v>
      </c>
      <c r="I202">
        <v>18</v>
      </c>
      <c r="J202" t="s">
        <v>21</v>
      </c>
      <c r="K202">
        <v>35</v>
      </c>
      <c r="L202">
        <v>3004</v>
      </c>
      <c r="M202">
        <v>1</v>
      </c>
      <c r="N202">
        <v>2</v>
      </c>
      <c r="O202">
        <v>2</v>
      </c>
    </row>
    <row r="203" spans="1:15" x14ac:dyDescent="0.3">
      <c r="A203" s="1">
        <v>41839</v>
      </c>
      <c r="B203">
        <v>242759</v>
      </c>
      <c r="C203">
        <v>255780</v>
      </c>
      <c r="D203">
        <v>7485</v>
      </c>
      <c r="E203">
        <v>2014</v>
      </c>
      <c r="F203">
        <v>7</v>
      </c>
      <c r="G203" t="s">
        <v>29</v>
      </c>
      <c r="H203">
        <v>3</v>
      </c>
      <c r="I203">
        <v>19</v>
      </c>
      <c r="J203" t="s">
        <v>22</v>
      </c>
      <c r="K203">
        <v>32</v>
      </c>
      <c r="L203">
        <v>-13021</v>
      </c>
      <c r="M203">
        <v>-2</v>
      </c>
      <c r="N203">
        <v>-5</v>
      </c>
      <c r="O203">
        <v>-5</v>
      </c>
    </row>
    <row r="204" spans="1:15" x14ac:dyDescent="0.3">
      <c r="A204" s="1">
        <v>41840</v>
      </c>
      <c r="B204">
        <v>85078</v>
      </c>
      <c r="C204">
        <v>83021</v>
      </c>
      <c r="D204">
        <v>2428</v>
      </c>
      <c r="E204">
        <v>2014</v>
      </c>
      <c r="F204">
        <v>7</v>
      </c>
      <c r="G204" t="s">
        <v>29</v>
      </c>
      <c r="H204">
        <v>3</v>
      </c>
      <c r="I204">
        <v>20</v>
      </c>
      <c r="J204" t="s">
        <v>23</v>
      </c>
      <c r="K204">
        <v>35</v>
      </c>
      <c r="L204">
        <v>2058</v>
      </c>
      <c r="M204">
        <v>1</v>
      </c>
      <c r="N204">
        <v>2</v>
      </c>
      <c r="O204">
        <v>2</v>
      </c>
    </row>
    <row r="205" spans="1:15" x14ac:dyDescent="0.3">
      <c r="A205" s="1">
        <v>41841</v>
      </c>
      <c r="B205">
        <v>86738</v>
      </c>
      <c r="C205">
        <v>84643</v>
      </c>
      <c r="D205">
        <v>2475</v>
      </c>
      <c r="E205">
        <v>2014</v>
      </c>
      <c r="F205">
        <v>7</v>
      </c>
      <c r="G205" t="s">
        <v>29</v>
      </c>
      <c r="H205">
        <v>3</v>
      </c>
      <c r="I205">
        <v>21</v>
      </c>
      <c r="J205" t="s">
        <v>16</v>
      </c>
      <c r="K205">
        <v>35</v>
      </c>
      <c r="L205">
        <v>2095</v>
      </c>
      <c r="M205">
        <v>1</v>
      </c>
      <c r="N205">
        <v>2</v>
      </c>
      <c r="O205">
        <v>2</v>
      </c>
    </row>
    <row r="206" spans="1:15" x14ac:dyDescent="0.3">
      <c r="A206" s="1">
        <v>41842</v>
      </c>
      <c r="B206">
        <v>56674</v>
      </c>
      <c r="C206">
        <v>55279</v>
      </c>
      <c r="D206">
        <v>1618</v>
      </c>
      <c r="E206">
        <v>2014</v>
      </c>
      <c r="F206">
        <v>7</v>
      </c>
      <c r="G206" t="s">
        <v>29</v>
      </c>
      <c r="H206">
        <v>3</v>
      </c>
      <c r="I206">
        <v>22</v>
      </c>
      <c r="J206" t="s">
        <v>17</v>
      </c>
      <c r="K206">
        <v>35</v>
      </c>
      <c r="L206">
        <v>1395</v>
      </c>
      <c r="M206">
        <v>1</v>
      </c>
      <c r="N206">
        <v>2</v>
      </c>
      <c r="O206">
        <v>2</v>
      </c>
    </row>
    <row r="207" spans="1:15" x14ac:dyDescent="0.3">
      <c r="A207" s="1">
        <v>41843</v>
      </c>
      <c r="B207">
        <v>165742</v>
      </c>
      <c r="C207">
        <v>173725</v>
      </c>
      <c r="D207">
        <v>5106</v>
      </c>
      <c r="E207">
        <v>2014</v>
      </c>
      <c r="F207">
        <v>7</v>
      </c>
      <c r="G207" t="s">
        <v>29</v>
      </c>
      <c r="H207">
        <v>3</v>
      </c>
      <c r="I207">
        <v>23</v>
      </c>
      <c r="J207" t="s">
        <v>19</v>
      </c>
      <c r="K207">
        <v>32</v>
      </c>
      <c r="L207">
        <v>-7983</v>
      </c>
      <c r="M207">
        <v>-2</v>
      </c>
      <c r="N207">
        <v>-5</v>
      </c>
      <c r="O207">
        <v>-5</v>
      </c>
    </row>
    <row r="208" spans="1:15" x14ac:dyDescent="0.3">
      <c r="A208" s="1">
        <v>41844</v>
      </c>
      <c r="B208">
        <v>95618</v>
      </c>
      <c r="C208">
        <v>92417</v>
      </c>
      <c r="D208">
        <v>2729</v>
      </c>
      <c r="E208">
        <v>2014</v>
      </c>
      <c r="F208">
        <v>7</v>
      </c>
      <c r="G208" t="s">
        <v>29</v>
      </c>
      <c r="H208">
        <v>3</v>
      </c>
      <c r="I208">
        <v>24</v>
      </c>
      <c r="J208" t="s">
        <v>20</v>
      </c>
      <c r="K208">
        <v>35</v>
      </c>
      <c r="L208">
        <v>3201</v>
      </c>
      <c r="M208">
        <v>1</v>
      </c>
      <c r="N208">
        <v>3</v>
      </c>
      <c r="O208">
        <v>3</v>
      </c>
    </row>
    <row r="209" spans="1:15" x14ac:dyDescent="0.3">
      <c r="A209" s="1">
        <v>41845</v>
      </c>
      <c r="B209">
        <v>515699</v>
      </c>
      <c r="C209">
        <v>538260</v>
      </c>
      <c r="D209">
        <v>15897</v>
      </c>
      <c r="E209">
        <v>2014</v>
      </c>
      <c r="F209">
        <v>7</v>
      </c>
      <c r="G209" t="s">
        <v>29</v>
      </c>
      <c r="H209">
        <v>3</v>
      </c>
      <c r="I209">
        <v>25</v>
      </c>
      <c r="J209" t="s">
        <v>21</v>
      </c>
      <c r="K209">
        <v>32</v>
      </c>
      <c r="L209">
        <v>-22561</v>
      </c>
      <c r="M209">
        <v>-1</v>
      </c>
      <c r="N209">
        <v>-4</v>
      </c>
      <c r="O209">
        <v>-4</v>
      </c>
    </row>
    <row r="210" spans="1:15" x14ac:dyDescent="0.3">
      <c r="A210" s="1">
        <v>41846</v>
      </c>
      <c r="B210">
        <v>562590</v>
      </c>
      <c r="C210">
        <v>586671</v>
      </c>
      <c r="D210">
        <v>17343</v>
      </c>
      <c r="E210">
        <v>2014</v>
      </c>
      <c r="F210">
        <v>7</v>
      </c>
      <c r="G210" t="s">
        <v>29</v>
      </c>
      <c r="H210">
        <v>3</v>
      </c>
      <c r="I210">
        <v>26</v>
      </c>
      <c r="J210" t="s">
        <v>22</v>
      </c>
      <c r="K210">
        <v>32</v>
      </c>
      <c r="L210">
        <v>-24080</v>
      </c>
      <c r="M210">
        <v>-1</v>
      </c>
      <c r="N210">
        <v>-4</v>
      </c>
      <c r="O210">
        <v>-4</v>
      </c>
    </row>
    <row r="211" spans="1:15" x14ac:dyDescent="0.3">
      <c r="A211" s="1">
        <v>41847</v>
      </c>
      <c r="B211">
        <v>266306</v>
      </c>
      <c r="C211">
        <v>277238</v>
      </c>
      <c r="D211">
        <v>8207</v>
      </c>
      <c r="E211">
        <v>2014</v>
      </c>
      <c r="F211">
        <v>7</v>
      </c>
      <c r="G211" t="s">
        <v>29</v>
      </c>
      <c r="H211">
        <v>3</v>
      </c>
      <c r="I211">
        <v>27</v>
      </c>
      <c r="J211" t="s">
        <v>23</v>
      </c>
      <c r="K211">
        <v>32</v>
      </c>
      <c r="L211">
        <v>-10932</v>
      </c>
      <c r="M211">
        <v>-1</v>
      </c>
      <c r="N211">
        <v>-4</v>
      </c>
      <c r="O211">
        <v>-4</v>
      </c>
    </row>
    <row r="212" spans="1:15" x14ac:dyDescent="0.3">
      <c r="A212" s="1">
        <v>41848</v>
      </c>
      <c r="B212">
        <v>292635</v>
      </c>
      <c r="C212">
        <v>304508</v>
      </c>
      <c r="D212">
        <v>9018</v>
      </c>
      <c r="E212">
        <v>2014</v>
      </c>
      <c r="F212">
        <v>7</v>
      </c>
      <c r="G212" t="s">
        <v>29</v>
      </c>
      <c r="H212">
        <v>3</v>
      </c>
      <c r="I212">
        <v>28</v>
      </c>
      <c r="J212" t="s">
        <v>16</v>
      </c>
      <c r="K212">
        <v>32</v>
      </c>
      <c r="L212">
        <v>-11874</v>
      </c>
      <c r="M212">
        <v>-1</v>
      </c>
      <c r="N212">
        <v>-4</v>
      </c>
      <c r="O212">
        <v>-4</v>
      </c>
    </row>
    <row r="213" spans="1:15" x14ac:dyDescent="0.3">
      <c r="A213" s="1">
        <v>41849</v>
      </c>
      <c r="B213">
        <v>212361</v>
      </c>
      <c r="C213">
        <v>221017</v>
      </c>
      <c r="D213">
        <v>6548</v>
      </c>
      <c r="E213">
        <v>2014</v>
      </c>
      <c r="F213">
        <v>7</v>
      </c>
      <c r="G213" t="s">
        <v>29</v>
      </c>
      <c r="H213">
        <v>3</v>
      </c>
      <c r="I213">
        <v>29</v>
      </c>
      <c r="J213" t="s">
        <v>17</v>
      </c>
      <c r="K213">
        <v>32</v>
      </c>
      <c r="L213">
        <v>-8656</v>
      </c>
      <c r="M213">
        <v>-1</v>
      </c>
      <c r="N213">
        <v>-4</v>
      </c>
      <c r="O213">
        <v>-4</v>
      </c>
    </row>
    <row r="214" spans="1:15" x14ac:dyDescent="0.3">
      <c r="A214" s="1">
        <v>41850</v>
      </c>
      <c r="B214">
        <v>198019</v>
      </c>
      <c r="C214">
        <v>205904</v>
      </c>
      <c r="D214">
        <v>6102</v>
      </c>
      <c r="E214">
        <v>2014</v>
      </c>
      <c r="F214">
        <v>7</v>
      </c>
      <c r="G214" t="s">
        <v>29</v>
      </c>
      <c r="H214">
        <v>3</v>
      </c>
      <c r="I214">
        <v>30</v>
      </c>
      <c r="J214" t="s">
        <v>19</v>
      </c>
      <c r="K214">
        <v>32</v>
      </c>
      <c r="L214">
        <v>-7884</v>
      </c>
      <c r="M214">
        <v>-1</v>
      </c>
      <c r="N214">
        <v>-4</v>
      </c>
      <c r="O214">
        <v>-4</v>
      </c>
    </row>
    <row r="215" spans="1:15" x14ac:dyDescent="0.3">
      <c r="A215" s="1">
        <v>41851</v>
      </c>
      <c r="B215">
        <v>295508</v>
      </c>
      <c r="C215">
        <v>307222</v>
      </c>
      <c r="D215">
        <v>9108</v>
      </c>
      <c r="E215">
        <v>2014</v>
      </c>
      <c r="F215">
        <v>7</v>
      </c>
      <c r="G215" t="s">
        <v>29</v>
      </c>
      <c r="H215">
        <v>3</v>
      </c>
      <c r="I215">
        <v>31</v>
      </c>
      <c r="J215" t="s">
        <v>20</v>
      </c>
      <c r="K215">
        <v>32</v>
      </c>
      <c r="L215">
        <v>-11714</v>
      </c>
      <c r="M215">
        <v>-1</v>
      </c>
      <c r="N215">
        <v>-4</v>
      </c>
      <c r="O215">
        <v>-4</v>
      </c>
    </row>
    <row r="216" spans="1:15" x14ac:dyDescent="0.3">
      <c r="A216" s="1">
        <v>41852</v>
      </c>
      <c r="B216">
        <v>611895</v>
      </c>
      <c r="C216">
        <v>636341</v>
      </c>
      <c r="D216">
        <v>18867</v>
      </c>
      <c r="E216">
        <v>2014</v>
      </c>
      <c r="F216">
        <v>8</v>
      </c>
      <c r="G216" t="s">
        <v>30</v>
      </c>
      <c r="H216">
        <v>3</v>
      </c>
      <c r="I216">
        <v>1</v>
      </c>
      <c r="J216" t="s">
        <v>21</v>
      </c>
      <c r="K216">
        <v>32</v>
      </c>
      <c r="L216">
        <v>-24447</v>
      </c>
      <c r="M216">
        <v>-1</v>
      </c>
      <c r="N216">
        <v>-4</v>
      </c>
      <c r="O216">
        <v>-4</v>
      </c>
    </row>
    <row r="217" spans="1:15" x14ac:dyDescent="0.3">
      <c r="A217" s="1">
        <v>41853</v>
      </c>
      <c r="B217">
        <v>628685</v>
      </c>
      <c r="C217">
        <v>653780</v>
      </c>
      <c r="D217">
        <v>19384</v>
      </c>
      <c r="E217">
        <v>2014</v>
      </c>
      <c r="F217">
        <v>8</v>
      </c>
      <c r="G217" t="s">
        <v>30</v>
      </c>
      <c r="H217">
        <v>3</v>
      </c>
      <c r="I217">
        <v>2</v>
      </c>
      <c r="J217" t="s">
        <v>22</v>
      </c>
      <c r="K217">
        <v>32</v>
      </c>
      <c r="L217">
        <v>-25095</v>
      </c>
      <c r="M217">
        <v>-1</v>
      </c>
      <c r="N217">
        <v>-4</v>
      </c>
      <c r="O217">
        <v>-4</v>
      </c>
    </row>
    <row r="218" spans="1:15" x14ac:dyDescent="0.3">
      <c r="A218" s="1">
        <v>41854</v>
      </c>
      <c r="B218">
        <v>307273</v>
      </c>
      <c r="C218">
        <v>319500</v>
      </c>
      <c r="D218">
        <v>9473</v>
      </c>
      <c r="E218">
        <v>2014</v>
      </c>
      <c r="F218">
        <v>8</v>
      </c>
      <c r="G218" t="s">
        <v>30</v>
      </c>
      <c r="H218">
        <v>3</v>
      </c>
      <c r="I218">
        <v>3</v>
      </c>
      <c r="J218" t="s">
        <v>23</v>
      </c>
      <c r="K218">
        <v>32</v>
      </c>
      <c r="L218">
        <v>-12227</v>
      </c>
      <c r="M218">
        <v>-1</v>
      </c>
      <c r="N218">
        <v>-4</v>
      </c>
      <c r="O218">
        <v>-4</v>
      </c>
    </row>
    <row r="219" spans="1:15" x14ac:dyDescent="0.3">
      <c r="A219" s="1">
        <v>41855</v>
      </c>
      <c r="B219">
        <v>362107</v>
      </c>
      <c r="C219">
        <v>376646</v>
      </c>
      <c r="D219">
        <v>11170</v>
      </c>
      <c r="E219">
        <v>2014</v>
      </c>
      <c r="F219">
        <v>8</v>
      </c>
      <c r="G219" t="s">
        <v>30</v>
      </c>
      <c r="H219">
        <v>3</v>
      </c>
      <c r="I219">
        <v>4</v>
      </c>
      <c r="J219" t="s">
        <v>16</v>
      </c>
      <c r="K219">
        <v>32</v>
      </c>
      <c r="L219">
        <v>-14539</v>
      </c>
      <c r="M219">
        <v>-1</v>
      </c>
      <c r="N219">
        <v>-4</v>
      </c>
      <c r="O219">
        <v>-4</v>
      </c>
    </row>
    <row r="220" spans="1:15" x14ac:dyDescent="0.3">
      <c r="A220" s="1">
        <v>41856</v>
      </c>
      <c r="B220">
        <v>262350</v>
      </c>
      <c r="C220">
        <v>272809</v>
      </c>
      <c r="D220">
        <v>8091</v>
      </c>
      <c r="E220">
        <v>2014</v>
      </c>
      <c r="F220">
        <v>8</v>
      </c>
      <c r="G220" t="s">
        <v>30</v>
      </c>
      <c r="H220">
        <v>3</v>
      </c>
      <c r="I220">
        <v>5</v>
      </c>
      <c r="J220" t="s">
        <v>17</v>
      </c>
      <c r="K220">
        <v>32</v>
      </c>
      <c r="L220">
        <v>-10460</v>
      </c>
      <c r="M220">
        <v>-1</v>
      </c>
      <c r="N220">
        <v>-4</v>
      </c>
      <c r="O220">
        <v>-4</v>
      </c>
    </row>
    <row r="221" spans="1:15" x14ac:dyDescent="0.3">
      <c r="A221" s="1">
        <v>41857</v>
      </c>
      <c r="B221">
        <v>80698</v>
      </c>
      <c r="C221">
        <v>77650</v>
      </c>
      <c r="D221">
        <v>2303</v>
      </c>
      <c r="E221">
        <v>2014</v>
      </c>
      <c r="F221">
        <v>8</v>
      </c>
      <c r="G221" t="s">
        <v>30</v>
      </c>
      <c r="H221">
        <v>3</v>
      </c>
      <c r="I221">
        <v>6</v>
      </c>
      <c r="J221" t="s">
        <v>19</v>
      </c>
      <c r="K221">
        <v>35</v>
      </c>
      <c r="L221">
        <v>3048</v>
      </c>
      <c r="M221">
        <v>1</v>
      </c>
      <c r="N221">
        <v>4</v>
      </c>
      <c r="O221">
        <v>4</v>
      </c>
    </row>
    <row r="222" spans="1:15" x14ac:dyDescent="0.3">
      <c r="A222" s="1">
        <v>41858</v>
      </c>
      <c r="B222">
        <v>103273</v>
      </c>
      <c r="C222">
        <v>99367</v>
      </c>
      <c r="D222">
        <v>2947</v>
      </c>
      <c r="E222">
        <v>2014</v>
      </c>
      <c r="F222">
        <v>8</v>
      </c>
      <c r="G222" t="s">
        <v>30</v>
      </c>
      <c r="H222">
        <v>3</v>
      </c>
      <c r="I222">
        <v>7</v>
      </c>
      <c r="J222" t="s">
        <v>20</v>
      </c>
      <c r="K222">
        <v>35</v>
      </c>
      <c r="L222">
        <v>3905</v>
      </c>
      <c r="M222">
        <v>1</v>
      </c>
      <c r="N222">
        <v>4</v>
      </c>
      <c r="O222">
        <v>4</v>
      </c>
    </row>
    <row r="223" spans="1:15" x14ac:dyDescent="0.3">
      <c r="A223" s="1">
        <v>41859</v>
      </c>
      <c r="B223">
        <v>439421</v>
      </c>
      <c r="C223">
        <v>456510</v>
      </c>
      <c r="D223">
        <v>13542</v>
      </c>
      <c r="E223">
        <v>2014</v>
      </c>
      <c r="F223">
        <v>8</v>
      </c>
      <c r="G223" t="s">
        <v>30</v>
      </c>
      <c r="H223">
        <v>3</v>
      </c>
      <c r="I223">
        <v>8</v>
      </c>
      <c r="J223" t="s">
        <v>21</v>
      </c>
      <c r="K223">
        <v>32</v>
      </c>
      <c r="L223">
        <v>-17088</v>
      </c>
      <c r="M223">
        <v>-1</v>
      </c>
      <c r="N223">
        <v>-4</v>
      </c>
      <c r="O223">
        <v>-4</v>
      </c>
    </row>
    <row r="224" spans="1:15" x14ac:dyDescent="0.3">
      <c r="A224" s="1">
        <v>41860</v>
      </c>
      <c r="B224">
        <v>408616</v>
      </c>
      <c r="C224">
        <v>424341</v>
      </c>
      <c r="D224">
        <v>12588</v>
      </c>
      <c r="E224">
        <v>2014</v>
      </c>
      <c r="F224">
        <v>8</v>
      </c>
      <c r="G224" t="s">
        <v>30</v>
      </c>
      <c r="H224">
        <v>3</v>
      </c>
      <c r="I224">
        <v>9</v>
      </c>
      <c r="J224" t="s">
        <v>22</v>
      </c>
      <c r="K224">
        <v>32</v>
      </c>
      <c r="L224">
        <v>-15725</v>
      </c>
      <c r="M224">
        <v>-1</v>
      </c>
      <c r="N224">
        <v>-4</v>
      </c>
      <c r="O224">
        <v>-4</v>
      </c>
    </row>
    <row r="225" spans="1:15" x14ac:dyDescent="0.3">
      <c r="A225" s="1">
        <v>41861</v>
      </c>
      <c r="B225">
        <v>195867</v>
      </c>
      <c r="C225">
        <v>203331</v>
      </c>
      <c r="D225">
        <v>6032</v>
      </c>
      <c r="E225">
        <v>2014</v>
      </c>
      <c r="F225">
        <v>8</v>
      </c>
      <c r="G225" t="s">
        <v>30</v>
      </c>
      <c r="H225">
        <v>3</v>
      </c>
      <c r="I225">
        <v>10</v>
      </c>
      <c r="J225" t="s">
        <v>23</v>
      </c>
      <c r="K225">
        <v>32</v>
      </c>
      <c r="L225">
        <v>-7465</v>
      </c>
      <c r="M225">
        <v>-1</v>
      </c>
      <c r="N225">
        <v>-4</v>
      </c>
      <c r="O225">
        <v>-4</v>
      </c>
    </row>
    <row r="226" spans="1:15" x14ac:dyDescent="0.3">
      <c r="A226" s="1">
        <v>41862</v>
      </c>
      <c r="B226">
        <v>232347</v>
      </c>
      <c r="C226">
        <v>241135</v>
      </c>
      <c r="D226">
        <v>7158</v>
      </c>
      <c r="E226">
        <v>2014</v>
      </c>
      <c r="F226">
        <v>8</v>
      </c>
      <c r="G226" t="s">
        <v>30</v>
      </c>
      <c r="H226">
        <v>3</v>
      </c>
      <c r="I226">
        <v>11</v>
      </c>
      <c r="J226" t="s">
        <v>16</v>
      </c>
      <c r="K226">
        <v>32</v>
      </c>
      <c r="L226">
        <v>-8787</v>
      </c>
      <c r="M226">
        <v>-1</v>
      </c>
      <c r="N226">
        <v>-4</v>
      </c>
      <c r="O226">
        <v>-4</v>
      </c>
    </row>
    <row r="227" spans="1:15" x14ac:dyDescent="0.3">
      <c r="A227" s="1">
        <v>41863</v>
      </c>
      <c r="B227">
        <v>190325</v>
      </c>
      <c r="C227">
        <v>197438</v>
      </c>
      <c r="D227">
        <v>5863</v>
      </c>
      <c r="E227">
        <v>2014</v>
      </c>
      <c r="F227">
        <v>8</v>
      </c>
      <c r="G227" t="s">
        <v>30</v>
      </c>
      <c r="H227">
        <v>3</v>
      </c>
      <c r="I227">
        <v>12</v>
      </c>
      <c r="J227" t="s">
        <v>17</v>
      </c>
      <c r="K227">
        <v>32</v>
      </c>
      <c r="L227">
        <v>-7113</v>
      </c>
      <c r="M227">
        <v>-1</v>
      </c>
      <c r="N227">
        <v>-4</v>
      </c>
      <c r="O227">
        <v>-4</v>
      </c>
    </row>
    <row r="228" spans="1:15" x14ac:dyDescent="0.3">
      <c r="A228" s="1">
        <v>41864</v>
      </c>
      <c r="B228">
        <v>197698</v>
      </c>
      <c r="C228">
        <v>205114</v>
      </c>
      <c r="D228">
        <v>6092</v>
      </c>
      <c r="E228">
        <v>2014</v>
      </c>
      <c r="F228">
        <v>8</v>
      </c>
      <c r="G228" t="s">
        <v>30</v>
      </c>
      <c r="H228">
        <v>3</v>
      </c>
      <c r="I228">
        <v>13</v>
      </c>
      <c r="J228" t="s">
        <v>19</v>
      </c>
      <c r="K228">
        <v>32</v>
      </c>
      <c r="L228">
        <v>-7416</v>
      </c>
      <c r="M228">
        <v>-1</v>
      </c>
      <c r="N228">
        <v>-4</v>
      </c>
      <c r="O228">
        <v>-4</v>
      </c>
    </row>
    <row r="229" spans="1:15" x14ac:dyDescent="0.3">
      <c r="A229" s="1">
        <v>41865</v>
      </c>
      <c r="B229">
        <v>177909</v>
      </c>
      <c r="C229">
        <v>184688</v>
      </c>
      <c r="D229">
        <v>5485</v>
      </c>
      <c r="E229">
        <v>2014</v>
      </c>
      <c r="F229">
        <v>8</v>
      </c>
      <c r="G229" t="s">
        <v>30</v>
      </c>
      <c r="H229">
        <v>3</v>
      </c>
      <c r="I229">
        <v>14</v>
      </c>
      <c r="J229" t="s">
        <v>20</v>
      </c>
      <c r="K229">
        <v>32</v>
      </c>
      <c r="L229">
        <v>-6779</v>
      </c>
      <c r="M229">
        <v>-1</v>
      </c>
      <c r="N229">
        <v>-4</v>
      </c>
      <c r="O229">
        <v>-4</v>
      </c>
    </row>
    <row r="230" spans="1:15" x14ac:dyDescent="0.3">
      <c r="A230" s="1">
        <v>41866</v>
      </c>
      <c r="B230">
        <v>473322</v>
      </c>
      <c r="C230">
        <v>491559</v>
      </c>
      <c r="D230">
        <v>14587</v>
      </c>
      <c r="E230">
        <v>2014</v>
      </c>
      <c r="F230">
        <v>8</v>
      </c>
      <c r="G230" t="s">
        <v>30</v>
      </c>
      <c r="H230">
        <v>3</v>
      </c>
      <c r="I230">
        <v>15</v>
      </c>
      <c r="J230" t="s">
        <v>21</v>
      </c>
      <c r="K230">
        <v>32</v>
      </c>
      <c r="L230">
        <v>-18238</v>
      </c>
      <c r="M230">
        <v>-1</v>
      </c>
      <c r="N230">
        <v>-4</v>
      </c>
      <c r="O230">
        <v>-4</v>
      </c>
    </row>
    <row r="231" spans="1:15" x14ac:dyDescent="0.3">
      <c r="A231" s="1">
        <v>41867</v>
      </c>
      <c r="B231">
        <v>541601</v>
      </c>
      <c r="C231">
        <v>562953</v>
      </c>
      <c r="D231">
        <v>16686</v>
      </c>
      <c r="E231">
        <v>2014</v>
      </c>
      <c r="F231">
        <v>8</v>
      </c>
      <c r="G231" t="s">
        <v>30</v>
      </c>
      <c r="H231">
        <v>3</v>
      </c>
      <c r="I231">
        <v>16</v>
      </c>
      <c r="J231" t="s">
        <v>22</v>
      </c>
      <c r="K231">
        <v>32</v>
      </c>
      <c r="L231">
        <v>-21352</v>
      </c>
      <c r="M231">
        <v>-1</v>
      </c>
      <c r="N231">
        <v>-4</v>
      </c>
      <c r="O231">
        <v>-4</v>
      </c>
    </row>
    <row r="232" spans="1:15" x14ac:dyDescent="0.3">
      <c r="A232" s="1">
        <v>41868</v>
      </c>
      <c r="B232">
        <v>239514</v>
      </c>
      <c r="C232">
        <v>249203</v>
      </c>
      <c r="D232">
        <v>7380</v>
      </c>
      <c r="E232">
        <v>2014</v>
      </c>
      <c r="F232">
        <v>8</v>
      </c>
      <c r="G232" t="s">
        <v>30</v>
      </c>
      <c r="H232">
        <v>3</v>
      </c>
      <c r="I232">
        <v>17</v>
      </c>
      <c r="J232" t="s">
        <v>23</v>
      </c>
      <c r="K232">
        <v>32</v>
      </c>
      <c r="L232">
        <v>-9689</v>
      </c>
      <c r="M232">
        <v>-1</v>
      </c>
      <c r="N232">
        <v>-4</v>
      </c>
      <c r="O232">
        <v>-4</v>
      </c>
    </row>
    <row r="233" spans="1:15" x14ac:dyDescent="0.3">
      <c r="A233" s="1">
        <v>41869</v>
      </c>
      <c r="B233">
        <v>255224</v>
      </c>
      <c r="C233">
        <v>265533</v>
      </c>
      <c r="D233">
        <v>7864</v>
      </c>
      <c r="E233">
        <v>2014</v>
      </c>
      <c r="F233">
        <v>8</v>
      </c>
      <c r="G233" t="s">
        <v>30</v>
      </c>
      <c r="H233">
        <v>3</v>
      </c>
      <c r="I233">
        <v>18</v>
      </c>
      <c r="J233" t="s">
        <v>16</v>
      </c>
      <c r="K233">
        <v>32</v>
      </c>
      <c r="L233">
        <v>-10308</v>
      </c>
      <c r="M233">
        <v>-1</v>
      </c>
      <c r="N233">
        <v>-4</v>
      </c>
      <c r="O233">
        <v>-4</v>
      </c>
    </row>
    <row r="234" spans="1:15" x14ac:dyDescent="0.3">
      <c r="A234" s="1">
        <v>41870</v>
      </c>
      <c r="B234">
        <v>160372</v>
      </c>
      <c r="C234">
        <v>167021</v>
      </c>
      <c r="D234">
        <v>4941</v>
      </c>
      <c r="E234">
        <v>2014</v>
      </c>
      <c r="F234">
        <v>8</v>
      </c>
      <c r="G234" t="s">
        <v>30</v>
      </c>
      <c r="H234">
        <v>3</v>
      </c>
      <c r="I234">
        <v>19</v>
      </c>
      <c r="J234" t="s">
        <v>17</v>
      </c>
      <c r="K234">
        <v>32</v>
      </c>
      <c r="L234">
        <v>-6649</v>
      </c>
      <c r="M234">
        <v>-1</v>
      </c>
      <c r="N234">
        <v>-4</v>
      </c>
      <c r="O234">
        <v>-4</v>
      </c>
    </row>
    <row r="235" spans="1:15" x14ac:dyDescent="0.3">
      <c r="A235" s="1">
        <v>41871</v>
      </c>
      <c r="B235">
        <v>171587</v>
      </c>
      <c r="C235">
        <v>174723</v>
      </c>
      <c r="D235">
        <v>5151</v>
      </c>
      <c r="E235">
        <v>2014</v>
      </c>
      <c r="F235">
        <v>8</v>
      </c>
      <c r="G235" t="s">
        <v>30</v>
      </c>
      <c r="H235">
        <v>3</v>
      </c>
      <c r="I235">
        <v>20</v>
      </c>
      <c r="J235" t="s">
        <v>19</v>
      </c>
      <c r="K235">
        <v>33</v>
      </c>
      <c r="L235">
        <v>-3136</v>
      </c>
      <c r="M235">
        <v>-1</v>
      </c>
      <c r="N235">
        <v>-2</v>
      </c>
      <c r="O235">
        <v>-2</v>
      </c>
    </row>
    <row r="236" spans="1:15" x14ac:dyDescent="0.3">
      <c r="A236" s="1">
        <v>41872</v>
      </c>
      <c r="B236">
        <v>164208</v>
      </c>
      <c r="C236">
        <v>167240</v>
      </c>
      <c r="D236">
        <v>4928</v>
      </c>
      <c r="E236">
        <v>2014</v>
      </c>
      <c r="F236">
        <v>8</v>
      </c>
      <c r="G236" t="s">
        <v>30</v>
      </c>
      <c r="H236">
        <v>3</v>
      </c>
      <c r="I236">
        <v>21</v>
      </c>
      <c r="J236" t="s">
        <v>20</v>
      </c>
      <c r="K236">
        <v>33</v>
      </c>
      <c r="L236">
        <v>-3032</v>
      </c>
      <c r="M236">
        <v>-1</v>
      </c>
      <c r="N236">
        <v>-2</v>
      </c>
      <c r="O236">
        <v>-2</v>
      </c>
    </row>
    <row r="237" spans="1:15" x14ac:dyDescent="0.3">
      <c r="A237" s="1">
        <v>41873</v>
      </c>
      <c r="B237">
        <v>376779</v>
      </c>
      <c r="C237">
        <v>384006</v>
      </c>
      <c r="D237">
        <v>11309</v>
      </c>
      <c r="E237">
        <v>2014</v>
      </c>
      <c r="F237">
        <v>8</v>
      </c>
      <c r="G237" t="s">
        <v>30</v>
      </c>
      <c r="H237">
        <v>3</v>
      </c>
      <c r="I237">
        <v>22</v>
      </c>
      <c r="J237" t="s">
        <v>21</v>
      </c>
      <c r="K237">
        <v>33</v>
      </c>
      <c r="L237">
        <v>-7227</v>
      </c>
      <c r="M237">
        <v>-1</v>
      </c>
      <c r="N237">
        <v>-2</v>
      </c>
      <c r="O237">
        <v>-2</v>
      </c>
    </row>
    <row r="238" spans="1:15" x14ac:dyDescent="0.3">
      <c r="A238" s="1">
        <v>41874</v>
      </c>
      <c r="B238">
        <v>453633</v>
      </c>
      <c r="C238">
        <v>463250</v>
      </c>
      <c r="D238">
        <v>13613</v>
      </c>
      <c r="E238">
        <v>2014</v>
      </c>
      <c r="F238">
        <v>8</v>
      </c>
      <c r="G238" t="s">
        <v>30</v>
      </c>
      <c r="H238">
        <v>3</v>
      </c>
      <c r="I238">
        <v>23</v>
      </c>
      <c r="J238" t="s">
        <v>22</v>
      </c>
      <c r="K238">
        <v>33</v>
      </c>
      <c r="L238">
        <v>-9617</v>
      </c>
      <c r="M238">
        <v>-1</v>
      </c>
      <c r="N238">
        <v>-2</v>
      </c>
      <c r="O238">
        <v>-2</v>
      </c>
    </row>
    <row r="239" spans="1:15" x14ac:dyDescent="0.3">
      <c r="A239" s="1">
        <v>41875</v>
      </c>
      <c r="B239">
        <v>214392</v>
      </c>
      <c r="C239">
        <v>218348</v>
      </c>
      <c r="D239">
        <v>6424</v>
      </c>
      <c r="E239">
        <v>2014</v>
      </c>
      <c r="F239">
        <v>8</v>
      </c>
      <c r="G239" t="s">
        <v>30</v>
      </c>
      <c r="H239">
        <v>3</v>
      </c>
      <c r="I239">
        <v>24</v>
      </c>
      <c r="J239" t="s">
        <v>23</v>
      </c>
      <c r="K239">
        <v>33</v>
      </c>
      <c r="L239">
        <v>-3955</v>
      </c>
      <c r="M239">
        <v>-1</v>
      </c>
      <c r="N239">
        <v>-2</v>
      </c>
      <c r="O239">
        <v>-2</v>
      </c>
    </row>
    <row r="240" spans="1:15" x14ac:dyDescent="0.3">
      <c r="A240" s="1">
        <v>41876</v>
      </c>
      <c r="B240">
        <v>316404</v>
      </c>
      <c r="C240">
        <v>323293</v>
      </c>
      <c r="D240">
        <v>9493</v>
      </c>
      <c r="E240">
        <v>2014</v>
      </c>
      <c r="F240">
        <v>8</v>
      </c>
      <c r="G240" t="s">
        <v>30</v>
      </c>
      <c r="H240">
        <v>3</v>
      </c>
      <c r="I240">
        <v>25</v>
      </c>
      <c r="J240" t="s">
        <v>16</v>
      </c>
      <c r="K240">
        <v>33</v>
      </c>
      <c r="L240">
        <v>-6889</v>
      </c>
      <c r="M240">
        <v>-1</v>
      </c>
      <c r="N240">
        <v>-2</v>
      </c>
      <c r="O240">
        <v>-2</v>
      </c>
    </row>
    <row r="241" spans="1:15" x14ac:dyDescent="0.3">
      <c r="A241" s="1">
        <v>41877</v>
      </c>
      <c r="B241">
        <v>242825</v>
      </c>
      <c r="C241">
        <v>259861</v>
      </c>
      <c r="D241">
        <v>7619</v>
      </c>
      <c r="E241">
        <v>2014</v>
      </c>
      <c r="F241">
        <v>8</v>
      </c>
      <c r="G241" t="s">
        <v>30</v>
      </c>
      <c r="H241">
        <v>3</v>
      </c>
      <c r="I241">
        <v>26</v>
      </c>
      <c r="J241" t="s">
        <v>17</v>
      </c>
      <c r="K241">
        <v>32</v>
      </c>
      <c r="L241">
        <v>-17036</v>
      </c>
      <c r="M241">
        <v>-2</v>
      </c>
      <c r="N241">
        <v>-7</v>
      </c>
      <c r="O241">
        <v>-7</v>
      </c>
    </row>
    <row r="242" spans="1:15" x14ac:dyDescent="0.3">
      <c r="A242" s="1">
        <v>41878</v>
      </c>
      <c r="B242">
        <v>274712</v>
      </c>
      <c r="C242">
        <v>304335</v>
      </c>
      <c r="D242">
        <v>8909</v>
      </c>
      <c r="E242">
        <v>2014</v>
      </c>
      <c r="F242">
        <v>8</v>
      </c>
      <c r="G242" t="s">
        <v>30</v>
      </c>
      <c r="H242">
        <v>3</v>
      </c>
      <c r="I242">
        <v>27</v>
      </c>
      <c r="J242" t="s">
        <v>19</v>
      </c>
      <c r="K242">
        <v>31</v>
      </c>
      <c r="L242">
        <v>-29623</v>
      </c>
      <c r="M242">
        <v>-3</v>
      </c>
      <c r="N242">
        <v>-11</v>
      </c>
      <c r="O242">
        <v>-11</v>
      </c>
    </row>
    <row r="243" spans="1:15" x14ac:dyDescent="0.3">
      <c r="A243" s="1">
        <v>41879</v>
      </c>
      <c r="B243">
        <v>258066</v>
      </c>
      <c r="C243">
        <v>287169</v>
      </c>
      <c r="D243">
        <v>8400</v>
      </c>
      <c r="E243">
        <v>2014</v>
      </c>
      <c r="F243">
        <v>8</v>
      </c>
      <c r="G243" t="s">
        <v>30</v>
      </c>
      <c r="H243">
        <v>3</v>
      </c>
      <c r="I243">
        <v>28</v>
      </c>
      <c r="J243" t="s">
        <v>20</v>
      </c>
      <c r="K243">
        <v>31</v>
      </c>
      <c r="L243">
        <v>-29102</v>
      </c>
      <c r="M243">
        <v>-3</v>
      </c>
      <c r="N243">
        <v>-11</v>
      </c>
      <c r="O243">
        <v>-11</v>
      </c>
    </row>
    <row r="244" spans="1:15" x14ac:dyDescent="0.3">
      <c r="A244" s="1">
        <v>41880</v>
      </c>
      <c r="B244">
        <v>594007</v>
      </c>
      <c r="C244">
        <v>660938</v>
      </c>
      <c r="D244">
        <v>19317</v>
      </c>
      <c r="E244">
        <v>2014</v>
      </c>
      <c r="F244">
        <v>8</v>
      </c>
      <c r="G244" t="s">
        <v>30</v>
      </c>
      <c r="H244">
        <v>3</v>
      </c>
      <c r="I244">
        <v>29</v>
      </c>
      <c r="J244" t="s">
        <v>21</v>
      </c>
      <c r="K244">
        <v>31</v>
      </c>
      <c r="L244">
        <v>-66931</v>
      </c>
      <c r="M244">
        <v>-3</v>
      </c>
      <c r="N244">
        <v>-11</v>
      </c>
      <c r="O244">
        <v>-11</v>
      </c>
    </row>
    <row r="245" spans="1:15" x14ac:dyDescent="0.3">
      <c r="A245" s="1">
        <v>41881</v>
      </c>
      <c r="B245">
        <v>717097</v>
      </c>
      <c r="C245">
        <v>797789</v>
      </c>
      <c r="D245">
        <v>23310</v>
      </c>
      <c r="E245">
        <v>2014</v>
      </c>
      <c r="F245">
        <v>8</v>
      </c>
      <c r="G245" t="s">
        <v>30</v>
      </c>
      <c r="H245">
        <v>3</v>
      </c>
      <c r="I245">
        <v>30</v>
      </c>
      <c r="J245" t="s">
        <v>22</v>
      </c>
      <c r="K245">
        <v>31</v>
      </c>
      <c r="L245">
        <v>-80692</v>
      </c>
      <c r="M245">
        <v>-3</v>
      </c>
      <c r="N245">
        <v>-11</v>
      </c>
      <c r="O245">
        <v>-11</v>
      </c>
    </row>
    <row r="246" spans="1:15" x14ac:dyDescent="0.3">
      <c r="A246" s="1">
        <v>41882</v>
      </c>
      <c r="B246">
        <v>358171</v>
      </c>
      <c r="C246">
        <v>398563</v>
      </c>
      <c r="D246">
        <v>11646</v>
      </c>
      <c r="E246">
        <v>2014</v>
      </c>
      <c r="F246">
        <v>8</v>
      </c>
      <c r="G246" t="s">
        <v>30</v>
      </c>
      <c r="H246">
        <v>3</v>
      </c>
      <c r="I246">
        <v>31</v>
      </c>
      <c r="J246" t="s">
        <v>23</v>
      </c>
      <c r="K246">
        <v>31</v>
      </c>
      <c r="L246">
        <v>-40392</v>
      </c>
      <c r="M246">
        <v>-3</v>
      </c>
      <c r="N246">
        <v>-11</v>
      </c>
      <c r="O246">
        <v>-11</v>
      </c>
    </row>
    <row r="247" spans="1:15" x14ac:dyDescent="0.3">
      <c r="A247" s="1">
        <v>41883</v>
      </c>
      <c r="B247">
        <v>594954</v>
      </c>
      <c r="C247">
        <v>662851</v>
      </c>
      <c r="D247">
        <v>19366</v>
      </c>
      <c r="E247">
        <v>2014</v>
      </c>
      <c r="F247">
        <v>9</v>
      </c>
      <c r="G247" t="s">
        <v>31</v>
      </c>
      <c r="H247">
        <v>3</v>
      </c>
      <c r="I247">
        <v>1</v>
      </c>
      <c r="J247" t="s">
        <v>16</v>
      </c>
      <c r="K247">
        <v>31</v>
      </c>
      <c r="L247">
        <v>-67897</v>
      </c>
      <c r="M247">
        <v>-4</v>
      </c>
      <c r="N247">
        <v>-11</v>
      </c>
      <c r="O247">
        <v>-11</v>
      </c>
    </row>
    <row r="248" spans="1:15" x14ac:dyDescent="0.3">
      <c r="A248" s="1">
        <v>41884</v>
      </c>
      <c r="B248">
        <v>469470</v>
      </c>
      <c r="C248">
        <v>523480</v>
      </c>
      <c r="D248">
        <v>15291</v>
      </c>
      <c r="E248">
        <v>2014</v>
      </c>
      <c r="F248">
        <v>9</v>
      </c>
      <c r="G248" t="s">
        <v>31</v>
      </c>
      <c r="H248">
        <v>3</v>
      </c>
      <c r="I248">
        <v>2</v>
      </c>
      <c r="J248" t="s">
        <v>17</v>
      </c>
      <c r="K248">
        <v>31</v>
      </c>
      <c r="L248">
        <v>-54010</v>
      </c>
      <c r="M248">
        <v>-4</v>
      </c>
      <c r="N248">
        <v>-12</v>
      </c>
      <c r="O248">
        <v>-12</v>
      </c>
    </row>
    <row r="249" spans="1:15" x14ac:dyDescent="0.3">
      <c r="A249" s="1">
        <v>41885</v>
      </c>
      <c r="B249">
        <v>464068</v>
      </c>
      <c r="C249">
        <v>517181</v>
      </c>
      <c r="D249">
        <v>15100</v>
      </c>
      <c r="E249">
        <v>2014</v>
      </c>
      <c r="F249">
        <v>9</v>
      </c>
      <c r="G249" t="s">
        <v>31</v>
      </c>
      <c r="H249">
        <v>3</v>
      </c>
      <c r="I249">
        <v>3</v>
      </c>
      <c r="J249" t="s">
        <v>19</v>
      </c>
      <c r="K249">
        <v>31</v>
      </c>
      <c r="L249">
        <v>-53113</v>
      </c>
      <c r="M249">
        <v>-4</v>
      </c>
      <c r="N249">
        <v>-11</v>
      </c>
      <c r="O249">
        <v>-11</v>
      </c>
    </row>
    <row r="250" spans="1:15" x14ac:dyDescent="0.3">
      <c r="A250" s="1">
        <v>41886</v>
      </c>
      <c r="B250">
        <v>312312</v>
      </c>
      <c r="C250">
        <v>348177</v>
      </c>
      <c r="D250">
        <v>10164</v>
      </c>
      <c r="E250">
        <v>2014</v>
      </c>
      <c r="F250">
        <v>9</v>
      </c>
      <c r="G250" t="s">
        <v>31</v>
      </c>
      <c r="H250">
        <v>3</v>
      </c>
      <c r="I250">
        <v>4</v>
      </c>
      <c r="J250" t="s">
        <v>20</v>
      </c>
      <c r="K250">
        <v>31</v>
      </c>
      <c r="L250">
        <v>-35865</v>
      </c>
      <c r="M250">
        <v>-4</v>
      </c>
      <c r="N250">
        <v>-11</v>
      </c>
      <c r="O250">
        <v>-11</v>
      </c>
    </row>
    <row r="251" spans="1:15" x14ac:dyDescent="0.3">
      <c r="A251" s="1">
        <v>41887</v>
      </c>
      <c r="B251">
        <v>501279</v>
      </c>
      <c r="C251">
        <v>558767</v>
      </c>
      <c r="D251">
        <v>16310</v>
      </c>
      <c r="E251">
        <v>2014</v>
      </c>
      <c r="F251">
        <v>9</v>
      </c>
      <c r="G251" t="s">
        <v>31</v>
      </c>
      <c r="H251">
        <v>3</v>
      </c>
      <c r="I251">
        <v>5</v>
      </c>
      <c r="J251" t="s">
        <v>21</v>
      </c>
      <c r="K251">
        <v>31</v>
      </c>
      <c r="L251">
        <v>-57488</v>
      </c>
      <c r="M251">
        <v>-4</v>
      </c>
      <c r="N251">
        <v>-11</v>
      </c>
      <c r="O251">
        <v>-11</v>
      </c>
    </row>
    <row r="252" spans="1:15" x14ac:dyDescent="0.3">
      <c r="A252" s="1">
        <v>41888</v>
      </c>
      <c r="B252">
        <v>552704</v>
      </c>
      <c r="C252">
        <v>616170</v>
      </c>
      <c r="D252">
        <v>17985</v>
      </c>
      <c r="E252">
        <v>2014</v>
      </c>
      <c r="F252">
        <v>9</v>
      </c>
      <c r="G252" t="s">
        <v>31</v>
      </c>
      <c r="H252">
        <v>3</v>
      </c>
      <c r="I252">
        <v>6</v>
      </c>
      <c r="J252" t="s">
        <v>22</v>
      </c>
      <c r="K252">
        <v>31</v>
      </c>
      <c r="L252">
        <v>-63466</v>
      </c>
      <c r="M252">
        <v>-4</v>
      </c>
      <c r="N252">
        <v>-11</v>
      </c>
      <c r="O252">
        <v>-11</v>
      </c>
    </row>
    <row r="253" spans="1:15" x14ac:dyDescent="0.3">
      <c r="A253" s="1">
        <v>41889</v>
      </c>
      <c r="B253">
        <v>234154</v>
      </c>
      <c r="C253">
        <v>261088</v>
      </c>
      <c r="D253">
        <v>7620</v>
      </c>
      <c r="E253">
        <v>2014</v>
      </c>
      <c r="F253">
        <v>9</v>
      </c>
      <c r="G253" t="s">
        <v>31</v>
      </c>
      <c r="H253">
        <v>3</v>
      </c>
      <c r="I253">
        <v>7</v>
      </c>
      <c r="J253" t="s">
        <v>23</v>
      </c>
      <c r="K253">
        <v>31</v>
      </c>
      <c r="L253">
        <v>-26935</v>
      </c>
      <c r="M253">
        <v>-4</v>
      </c>
      <c r="N253">
        <v>-12</v>
      </c>
      <c r="O253">
        <v>-12</v>
      </c>
    </row>
    <row r="254" spans="1:15" x14ac:dyDescent="0.3">
      <c r="A254" s="1">
        <v>41890</v>
      </c>
      <c r="B254">
        <v>244481</v>
      </c>
      <c r="C254">
        <v>272633</v>
      </c>
      <c r="D254">
        <v>7958</v>
      </c>
      <c r="E254">
        <v>2014</v>
      </c>
      <c r="F254">
        <v>9</v>
      </c>
      <c r="G254" t="s">
        <v>31</v>
      </c>
      <c r="H254">
        <v>3</v>
      </c>
      <c r="I254">
        <v>8</v>
      </c>
      <c r="J254" t="s">
        <v>16</v>
      </c>
      <c r="K254">
        <v>31</v>
      </c>
      <c r="L254">
        <v>-28152</v>
      </c>
      <c r="M254">
        <v>-4</v>
      </c>
      <c r="N254">
        <v>-12</v>
      </c>
      <c r="O254">
        <v>-12</v>
      </c>
    </row>
    <row r="255" spans="1:15" x14ac:dyDescent="0.3">
      <c r="A255" s="1">
        <v>41891</v>
      </c>
      <c r="B255">
        <v>122750</v>
      </c>
      <c r="C255">
        <v>120071</v>
      </c>
      <c r="D255">
        <v>3503</v>
      </c>
      <c r="E255">
        <v>2014</v>
      </c>
      <c r="F255">
        <v>9</v>
      </c>
      <c r="G255" t="s">
        <v>31</v>
      </c>
      <c r="H255">
        <v>3</v>
      </c>
      <c r="I255">
        <v>9</v>
      </c>
      <c r="J255" t="s">
        <v>17</v>
      </c>
      <c r="K255">
        <v>35</v>
      </c>
      <c r="L255">
        <v>2679</v>
      </c>
      <c r="M255">
        <v>1</v>
      </c>
      <c r="N255">
        <v>2</v>
      </c>
      <c r="O255">
        <v>2</v>
      </c>
    </row>
    <row r="256" spans="1:15" x14ac:dyDescent="0.3">
      <c r="A256" s="1">
        <v>41892</v>
      </c>
      <c r="B256">
        <v>78736</v>
      </c>
      <c r="C256">
        <v>77072</v>
      </c>
      <c r="D256">
        <v>2247</v>
      </c>
      <c r="E256">
        <v>2014</v>
      </c>
      <c r="F256">
        <v>9</v>
      </c>
      <c r="G256" t="s">
        <v>31</v>
      </c>
      <c r="H256">
        <v>3</v>
      </c>
      <c r="I256">
        <v>10</v>
      </c>
      <c r="J256" t="s">
        <v>19</v>
      </c>
      <c r="K256">
        <v>35</v>
      </c>
      <c r="L256">
        <v>1665</v>
      </c>
      <c r="M256">
        <v>1</v>
      </c>
      <c r="N256">
        <v>2</v>
      </c>
      <c r="O256">
        <v>2</v>
      </c>
    </row>
    <row r="257" spans="1:15" x14ac:dyDescent="0.3">
      <c r="A257" s="1">
        <v>41893</v>
      </c>
      <c r="B257">
        <v>70875</v>
      </c>
      <c r="C257">
        <v>69489</v>
      </c>
      <c r="D257">
        <v>2023</v>
      </c>
      <c r="E257">
        <v>2014</v>
      </c>
      <c r="F257">
        <v>9</v>
      </c>
      <c r="G257" t="s">
        <v>31</v>
      </c>
      <c r="H257">
        <v>3</v>
      </c>
      <c r="I257">
        <v>11</v>
      </c>
      <c r="J257" t="s">
        <v>20</v>
      </c>
      <c r="K257">
        <v>35</v>
      </c>
      <c r="L257">
        <v>1386</v>
      </c>
      <c r="M257">
        <v>1</v>
      </c>
      <c r="N257">
        <v>2</v>
      </c>
      <c r="O257">
        <v>2</v>
      </c>
    </row>
    <row r="258" spans="1:15" x14ac:dyDescent="0.3">
      <c r="A258" s="1">
        <v>41894</v>
      </c>
      <c r="B258">
        <v>148634</v>
      </c>
      <c r="C258">
        <v>145956</v>
      </c>
      <c r="D258">
        <v>4242</v>
      </c>
      <c r="E258">
        <v>2014</v>
      </c>
      <c r="F258">
        <v>9</v>
      </c>
      <c r="G258" t="s">
        <v>31</v>
      </c>
      <c r="H258">
        <v>3</v>
      </c>
      <c r="I258">
        <v>12</v>
      </c>
      <c r="J258" t="s">
        <v>21</v>
      </c>
      <c r="K258">
        <v>35</v>
      </c>
      <c r="L258">
        <v>2678</v>
      </c>
      <c r="M258">
        <v>1</v>
      </c>
      <c r="N258">
        <v>2</v>
      </c>
      <c r="O258">
        <v>2</v>
      </c>
    </row>
    <row r="259" spans="1:15" x14ac:dyDescent="0.3">
      <c r="A259" s="1">
        <v>41895</v>
      </c>
      <c r="B259">
        <v>171725</v>
      </c>
      <c r="C259">
        <v>168652</v>
      </c>
      <c r="D259">
        <v>4901</v>
      </c>
      <c r="E259">
        <v>2014</v>
      </c>
      <c r="F259">
        <v>9</v>
      </c>
      <c r="G259" t="s">
        <v>31</v>
      </c>
      <c r="H259">
        <v>3</v>
      </c>
      <c r="I259">
        <v>13</v>
      </c>
      <c r="J259" t="s">
        <v>22</v>
      </c>
      <c r="K259">
        <v>35</v>
      </c>
      <c r="L259">
        <v>3073</v>
      </c>
      <c r="M259">
        <v>1</v>
      </c>
      <c r="N259">
        <v>2</v>
      </c>
      <c r="O259">
        <v>2</v>
      </c>
    </row>
    <row r="260" spans="1:15" x14ac:dyDescent="0.3">
      <c r="A260" s="1">
        <v>41896</v>
      </c>
      <c r="B260">
        <v>86436</v>
      </c>
      <c r="C260">
        <v>84948</v>
      </c>
      <c r="D260">
        <v>2467</v>
      </c>
      <c r="E260">
        <v>2014</v>
      </c>
      <c r="F260">
        <v>9</v>
      </c>
      <c r="G260" t="s">
        <v>31</v>
      </c>
      <c r="H260">
        <v>3</v>
      </c>
      <c r="I260">
        <v>14</v>
      </c>
      <c r="J260" t="s">
        <v>23</v>
      </c>
      <c r="K260">
        <v>35</v>
      </c>
      <c r="L260">
        <v>1487</v>
      </c>
      <c r="M260">
        <v>1</v>
      </c>
      <c r="N260">
        <v>2</v>
      </c>
      <c r="O260">
        <v>2</v>
      </c>
    </row>
    <row r="261" spans="1:15" x14ac:dyDescent="0.3">
      <c r="A261" s="1">
        <v>41897</v>
      </c>
      <c r="B261">
        <v>120236</v>
      </c>
      <c r="C261">
        <v>118094</v>
      </c>
      <c r="D261">
        <v>3432</v>
      </c>
      <c r="E261">
        <v>2014</v>
      </c>
      <c r="F261">
        <v>9</v>
      </c>
      <c r="G261" t="s">
        <v>31</v>
      </c>
      <c r="H261">
        <v>3</v>
      </c>
      <c r="I261">
        <v>15</v>
      </c>
      <c r="J261" t="s">
        <v>16</v>
      </c>
      <c r="K261">
        <v>35</v>
      </c>
      <c r="L261">
        <v>2142</v>
      </c>
      <c r="M261">
        <v>1</v>
      </c>
      <c r="N261">
        <v>2</v>
      </c>
      <c r="O261">
        <v>2</v>
      </c>
    </row>
    <row r="262" spans="1:15" x14ac:dyDescent="0.3">
      <c r="A262" s="1">
        <v>41898</v>
      </c>
      <c r="B262">
        <v>83204</v>
      </c>
      <c r="C262">
        <v>81753</v>
      </c>
      <c r="D262">
        <v>2375</v>
      </c>
      <c r="E262">
        <v>2014</v>
      </c>
      <c r="F262">
        <v>9</v>
      </c>
      <c r="G262" t="s">
        <v>31</v>
      </c>
      <c r="H262">
        <v>3</v>
      </c>
      <c r="I262">
        <v>16</v>
      </c>
      <c r="J262" t="s">
        <v>17</v>
      </c>
      <c r="K262">
        <v>35</v>
      </c>
      <c r="L262">
        <v>1451</v>
      </c>
      <c r="M262">
        <v>1</v>
      </c>
      <c r="N262">
        <v>2</v>
      </c>
      <c r="O262">
        <v>2</v>
      </c>
    </row>
    <row r="263" spans="1:15" x14ac:dyDescent="0.3">
      <c r="A263" s="1">
        <v>41899</v>
      </c>
      <c r="B263">
        <v>73768</v>
      </c>
      <c r="C263">
        <v>72472</v>
      </c>
      <c r="D263">
        <v>2105</v>
      </c>
      <c r="E263">
        <v>2014</v>
      </c>
      <c r="F263">
        <v>9</v>
      </c>
      <c r="G263" t="s">
        <v>31</v>
      </c>
      <c r="H263">
        <v>3</v>
      </c>
      <c r="I263">
        <v>17</v>
      </c>
      <c r="J263" t="s">
        <v>19</v>
      </c>
      <c r="K263">
        <v>35</v>
      </c>
      <c r="L263">
        <v>1296</v>
      </c>
      <c r="M263">
        <v>1</v>
      </c>
      <c r="N263">
        <v>2</v>
      </c>
      <c r="O263">
        <v>2</v>
      </c>
    </row>
    <row r="264" spans="1:15" x14ac:dyDescent="0.3">
      <c r="A264" s="1">
        <v>41900</v>
      </c>
      <c r="B264">
        <v>69425</v>
      </c>
      <c r="C264">
        <v>68280</v>
      </c>
      <c r="D264">
        <v>1982</v>
      </c>
      <c r="E264">
        <v>2014</v>
      </c>
      <c r="F264">
        <v>9</v>
      </c>
      <c r="G264" t="s">
        <v>31</v>
      </c>
      <c r="H264">
        <v>3</v>
      </c>
      <c r="I264">
        <v>18</v>
      </c>
      <c r="J264" t="s">
        <v>20</v>
      </c>
      <c r="K264">
        <v>35</v>
      </c>
      <c r="L264">
        <v>1145</v>
      </c>
      <c r="M264">
        <v>1</v>
      </c>
      <c r="N264">
        <v>2</v>
      </c>
      <c r="O264">
        <v>2</v>
      </c>
    </row>
    <row r="265" spans="1:15" x14ac:dyDescent="0.3">
      <c r="A265" s="1">
        <v>41901</v>
      </c>
      <c r="B265">
        <v>137155</v>
      </c>
      <c r="C265">
        <v>135277</v>
      </c>
      <c r="D265">
        <v>3915</v>
      </c>
      <c r="E265">
        <v>2014</v>
      </c>
      <c r="F265">
        <v>9</v>
      </c>
      <c r="G265" t="s">
        <v>31</v>
      </c>
      <c r="H265">
        <v>3</v>
      </c>
      <c r="I265">
        <v>19</v>
      </c>
      <c r="J265" t="s">
        <v>21</v>
      </c>
      <c r="K265">
        <v>35</v>
      </c>
      <c r="L265">
        <v>1878</v>
      </c>
      <c r="M265">
        <v>0</v>
      </c>
      <c r="N265">
        <v>1</v>
      </c>
      <c r="O265">
        <v>1</v>
      </c>
    </row>
    <row r="266" spans="1:15" x14ac:dyDescent="0.3">
      <c r="A266" s="1">
        <v>41902</v>
      </c>
      <c r="B266">
        <v>153569</v>
      </c>
      <c r="C266">
        <v>151376</v>
      </c>
      <c r="D266">
        <v>4383</v>
      </c>
      <c r="E266">
        <v>2014</v>
      </c>
      <c r="F266">
        <v>9</v>
      </c>
      <c r="G266" t="s">
        <v>31</v>
      </c>
      <c r="H266">
        <v>3</v>
      </c>
      <c r="I266">
        <v>20</v>
      </c>
      <c r="J266" t="s">
        <v>22</v>
      </c>
      <c r="K266">
        <v>35</v>
      </c>
      <c r="L266">
        <v>2193</v>
      </c>
      <c r="M266">
        <v>1</v>
      </c>
      <c r="N266">
        <v>1</v>
      </c>
      <c r="O266">
        <v>1</v>
      </c>
    </row>
    <row r="267" spans="1:15" x14ac:dyDescent="0.3">
      <c r="A267" s="1">
        <v>41903</v>
      </c>
      <c r="B267">
        <v>75633</v>
      </c>
      <c r="C267">
        <v>74547</v>
      </c>
      <c r="D267">
        <v>2159</v>
      </c>
      <c r="E267">
        <v>2014</v>
      </c>
      <c r="F267">
        <v>9</v>
      </c>
      <c r="G267" t="s">
        <v>31</v>
      </c>
      <c r="H267">
        <v>3</v>
      </c>
      <c r="I267">
        <v>21</v>
      </c>
      <c r="J267" t="s">
        <v>23</v>
      </c>
      <c r="K267">
        <v>35</v>
      </c>
      <c r="L267">
        <v>1087</v>
      </c>
      <c r="M267">
        <v>1</v>
      </c>
      <c r="N267">
        <v>1</v>
      </c>
      <c r="O267">
        <v>1</v>
      </c>
    </row>
    <row r="268" spans="1:15" x14ac:dyDescent="0.3">
      <c r="A268" s="1">
        <v>41904</v>
      </c>
      <c r="B268">
        <v>90816</v>
      </c>
      <c r="C268">
        <v>89654</v>
      </c>
      <c r="D268">
        <v>2592</v>
      </c>
      <c r="E268">
        <v>2014</v>
      </c>
      <c r="F268">
        <v>9</v>
      </c>
      <c r="G268" t="s">
        <v>31</v>
      </c>
      <c r="H268">
        <v>3</v>
      </c>
      <c r="I268">
        <v>22</v>
      </c>
      <c r="J268" t="s">
        <v>16</v>
      </c>
      <c r="K268">
        <v>35</v>
      </c>
      <c r="L268">
        <v>1162</v>
      </c>
      <c r="M268">
        <v>0</v>
      </c>
      <c r="N268">
        <v>1</v>
      </c>
      <c r="O268">
        <v>1</v>
      </c>
    </row>
    <row r="269" spans="1:15" x14ac:dyDescent="0.3">
      <c r="A269" s="1">
        <v>41905</v>
      </c>
      <c r="B269">
        <v>110118</v>
      </c>
      <c r="C269">
        <v>108880</v>
      </c>
      <c r="D269">
        <v>3143</v>
      </c>
      <c r="E269">
        <v>2014</v>
      </c>
      <c r="F269">
        <v>9</v>
      </c>
      <c r="G269" t="s">
        <v>31</v>
      </c>
      <c r="H269">
        <v>3</v>
      </c>
      <c r="I269">
        <v>23</v>
      </c>
      <c r="J269" t="s">
        <v>17</v>
      </c>
      <c r="K269">
        <v>35</v>
      </c>
      <c r="L269">
        <v>1238</v>
      </c>
      <c r="M269">
        <v>0</v>
      </c>
      <c r="N269">
        <v>1</v>
      </c>
      <c r="O269">
        <v>1</v>
      </c>
    </row>
    <row r="270" spans="1:15" x14ac:dyDescent="0.3">
      <c r="A270" s="1">
        <v>41906</v>
      </c>
      <c r="B270">
        <v>209908</v>
      </c>
      <c r="C270">
        <v>223554</v>
      </c>
      <c r="D270">
        <v>6457</v>
      </c>
      <c r="E270">
        <v>2014</v>
      </c>
      <c r="F270">
        <v>9</v>
      </c>
      <c r="G270" t="s">
        <v>31</v>
      </c>
      <c r="H270">
        <v>3</v>
      </c>
      <c r="I270">
        <v>24</v>
      </c>
      <c r="J270" t="s">
        <v>19</v>
      </c>
      <c r="K270">
        <v>33</v>
      </c>
      <c r="L270">
        <v>-13646</v>
      </c>
      <c r="M270">
        <v>-2</v>
      </c>
      <c r="N270">
        <v>-7</v>
      </c>
      <c r="O270">
        <v>-7</v>
      </c>
    </row>
    <row r="271" spans="1:15" x14ac:dyDescent="0.3">
      <c r="A271" s="1">
        <v>41907</v>
      </c>
      <c r="B271">
        <v>358366</v>
      </c>
      <c r="C271">
        <v>382968</v>
      </c>
      <c r="D271">
        <v>11039</v>
      </c>
      <c r="E271">
        <v>2014</v>
      </c>
      <c r="F271">
        <v>9</v>
      </c>
      <c r="G271" t="s">
        <v>31</v>
      </c>
      <c r="H271">
        <v>3</v>
      </c>
      <c r="I271">
        <v>25</v>
      </c>
      <c r="J271" t="s">
        <v>20</v>
      </c>
      <c r="K271">
        <v>32</v>
      </c>
      <c r="L271">
        <v>-24602</v>
      </c>
      <c r="M271">
        <v>-2</v>
      </c>
      <c r="N271">
        <v>-7</v>
      </c>
      <c r="O271">
        <v>-7</v>
      </c>
    </row>
    <row r="272" spans="1:15" x14ac:dyDescent="0.3">
      <c r="A272" s="1">
        <v>41908</v>
      </c>
      <c r="B272">
        <v>585464</v>
      </c>
      <c r="C272">
        <v>625981</v>
      </c>
      <c r="D272">
        <v>18036</v>
      </c>
      <c r="E272">
        <v>2014</v>
      </c>
      <c r="F272">
        <v>9</v>
      </c>
      <c r="G272" t="s">
        <v>31</v>
      </c>
      <c r="H272">
        <v>3</v>
      </c>
      <c r="I272">
        <v>26</v>
      </c>
      <c r="J272" t="s">
        <v>21</v>
      </c>
      <c r="K272">
        <v>32</v>
      </c>
      <c r="L272">
        <v>-40517</v>
      </c>
      <c r="M272">
        <v>-2</v>
      </c>
      <c r="N272">
        <v>-7</v>
      </c>
      <c r="O272">
        <v>-7</v>
      </c>
    </row>
    <row r="273" spans="1:15" x14ac:dyDescent="0.3">
      <c r="A273" s="1">
        <v>41909</v>
      </c>
      <c r="B273">
        <v>617019</v>
      </c>
      <c r="C273">
        <v>661011</v>
      </c>
      <c r="D273">
        <v>19017</v>
      </c>
      <c r="E273">
        <v>2014</v>
      </c>
      <c r="F273">
        <v>9</v>
      </c>
      <c r="G273" t="s">
        <v>31</v>
      </c>
      <c r="H273">
        <v>3</v>
      </c>
      <c r="I273">
        <v>27</v>
      </c>
      <c r="J273" t="s">
        <v>22</v>
      </c>
      <c r="K273">
        <v>32</v>
      </c>
      <c r="L273">
        <v>-43991</v>
      </c>
      <c r="M273">
        <v>-2</v>
      </c>
      <c r="N273">
        <v>-7</v>
      </c>
      <c r="O273">
        <v>-7</v>
      </c>
    </row>
    <row r="274" spans="1:15" x14ac:dyDescent="0.3">
      <c r="A274" s="1">
        <v>41910</v>
      </c>
      <c r="B274">
        <v>283851</v>
      </c>
      <c r="C274">
        <v>304441</v>
      </c>
      <c r="D274">
        <v>8747</v>
      </c>
      <c r="E274">
        <v>2014</v>
      </c>
      <c r="F274">
        <v>9</v>
      </c>
      <c r="G274" t="s">
        <v>31</v>
      </c>
      <c r="H274">
        <v>3</v>
      </c>
      <c r="I274">
        <v>28</v>
      </c>
      <c r="J274" t="s">
        <v>23</v>
      </c>
      <c r="K274">
        <v>32</v>
      </c>
      <c r="L274">
        <v>-20590</v>
      </c>
      <c r="M274">
        <v>-2</v>
      </c>
      <c r="N274">
        <v>-7</v>
      </c>
      <c r="O274">
        <v>-7</v>
      </c>
    </row>
    <row r="275" spans="1:15" x14ac:dyDescent="0.3">
      <c r="A275" s="1">
        <v>41911</v>
      </c>
      <c r="B275">
        <v>264317</v>
      </c>
      <c r="C275">
        <v>283913</v>
      </c>
      <c r="D275">
        <v>8147</v>
      </c>
      <c r="E275">
        <v>2014</v>
      </c>
      <c r="F275">
        <v>9</v>
      </c>
      <c r="G275" t="s">
        <v>31</v>
      </c>
      <c r="H275">
        <v>3</v>
      </c>
      <c r="I275">
        <v>29</v>
      </c>
      <c r="J275" t="s">
        <v>16</v>
      </c>
      <c r="K275">
        <v>32</v>
      </c>
      <c r="L275">
        <v>-19596</v>
      </c>
      <c r="M275">
        <v>-2</v>
      </c>
      <c r="N275">
        <v>-7</v>
      </c>
      <c r="O275">
        <v>-7</v>
      </c>
    </row>
    <row r="276" spans="1:15" x14ac:dyDescent="0.3">
      <c r="A276" s="1">
        <v>41912</v>
      </c>
      <c r="B276">
        <v>358025</v>
      </c>
      <c r="C276">
        <v>384823</v>
      </c>
      <c r="D276">
        <v>11036</v>
      </c>
      <c r="E276">
        <v>2014</v>
      </c>
      <c r="F276">
        <v>9</v>
      </c>
      <c r="G276" t="s">
        <v>31</v>
      </c>
      <c r="H276">
        <v>3</v>
      </c>
      <c r="I276">
        <v>30</v>
      </c>
      <c r="J276" t="s">
        <v>17</v>
      </c>
      <c r="K276">
        <v>32</v>
      </c>
      <c r="L276">
        <v>-26798</v>
      </c>
      <c r="M276">
        <v>-2</v>
      </c>
      <c r="N276">
        <v>-7</v>
      </c>
      <c r="O276">
        <v>-7</v>
      </c>
    </row>
    <row r="277" spans="1:15" x14ac:dyDescent="0.3">
      <c r="A277" s="1">
        <v>41913</v>
      </c>
      <c r="B277">
        <v>594438</v>
      </c>
      <c r="C277">
        <v>639307</v>
      </c>
      <c r="D277">
        <v>18330</v>
      </c>
      <c r="E277">
        <v>2014</v>
      </c>
      <c r="F277">
        <v>10</v>
      </c>
      <c r="G277" t="s">
        <v>32</v>
      </c>
      <c r="H277">
        <v>4</v>
      </c>
      <c r="I277">
        <v>1</v>
      </c>
      <c r="J277" t="s">
        <v>19</v>
      </c>
      <c r="K277">
        <v>32</v>
      </c>
      <c r="L277">
        <v>-44868</v>
      </c>
      <c r="M277">
        <v>-2</v>
      </c>
      <c r="N277">
        <v>-8</v>
      </c>
      <c r="O277">
        <v>-8</v>
      </c>
    </row>
    <row r="278" spans="1:15" x14ac:dyDescent="0.3">
      <c r="A278" s="1">
        <v>41914</v>
      </c>
      <c r="B278">
        <v>470508</v>
      </c>
      <c r="C278">
        <v>506072</v>
      </c>
      <c r="D278">
        <v>14503</v>
      </c>
      <c r="E278">
        <v>2014</v>
      </c>
      <c r="F278">
        <v>10</v>
      </c>
      <c r="G278" t="s">
        <v>32</v>
      </c>
      <c r="H278">
        <v>4</v>
      </c>
      <c r="I278">
        <v>2</v>
      </c>
      <c r="J278" t="s">
        <v>20</v>
      </c>
      <c r="K278">
        <v>32</v>
      </c>
      <c r="L278">
        <v>-35564</v>
      </c>
      <c r="M278">
        <v>-2</v>
      </c>
      <c r="N278">
        <v>-8</v>
      </c>
      <c r="O278">
        <v>-8</v>
      </c>
    </row>
    <row r="279" spans="1:15" x14ac:dyDescent="0.3">
      <c r="A279" s="1">
        <v>41915</v>
      </c>
      <c r="B279">
        <v>518694</v>
      </c>
      <c r="C279">
        <v>557939</v>
      </c>
      <c r="D279">
        <v>15986</v>
      </c>
      <c r="E279">
        <v>2014</v>
      </c>
      <c r="F279">
        <v>10</v>
      </c>
      <c r="G279" t="s">
        <v>32</v>
      </c>
      <c r="H279">
        <v>4</v>
      </c>
      <c r="I279">
        <v>3</v>
      </c>
      <c r="J279" t="s">
        <v>21</v>
      </c>
      <c r="K279">
        <v>32</v>
      </c>
      <c r="L279">
        <v>-39246</v>
      </c>
      <c r="M279">
        <v>-2</v>
      </c>
      <c r="N279">
        <v>-8</v>
      </c>
      <c r="O279">
        <v>-8</v>
      </c>
    </row>
    <row r="280" spans="1:15" x14ac:dyDescent="0.3">
      <c r="A280" s="1">
        <v>41916</v>
      </c>
      <c r="B280">
        <v>656246</v>
      </c>
      <c r="C280">
        <v>705891</v>
      </c>
      <c r="D280">
        <v>20223</v>
      </c>
      <c r="E280">
        <v>2014</v>
      </c>
      <c r="F280">
        <v>10</v>
      </c>
      <c r="G280" t="s">
        <v>32</v>
      </c>
      <c r="H280">
        <v>4</v>
      </c>
      <c r="I280">
        <v>4</v>
      </c>
      <c r="J280" t="s">
        <v>22</v>
      </c>
      <c r="K280">
        <v>32</v>
      </c>
      <c r="L280">
        <v>-49645</v>
      </c>
      <c r="M280">
        <v>-2</v>
      </c>
      <c r="N280">
        <v>-8</v>
      </c>
      <c r="O280">
        <v>-8</v>
      </c>
    </row>
    <row r="281" spans="1:15" x14ac:dyDescent="0.3">
      <c r="A281" s="1">
        <v>41917</v>
      </c>
      <c r="B281">
        <v>280055</v>
      </c>
      <c r="C281">
        <v>301280</v>
      </c>
      <c r="D281">
        <v>8631</v>
      </c>
      <c r="E281">
        <v>2014</v>
      </c>
      <c r="F281">
        <v>10</v>
      </c>
      <c r="G281" t="s">
        <v>32</v>
      </c>
      <c r="H281">
        <v>4</v>
      </c>
      <c r="I281">
        <v>5</v>
      </c>
      <c r="J281" t="s">
        <v>23</v>
      </c>
      <c r="K281">
        <v>32</v>
      </c>
      <c r="L281">
        <v>-21225</v>
      </c>
      <c r="M281">
        <v>-2</v>
      </c>
      <c r="N281">
        <v>-8</v>
      </c>
      <c r="O281">
        <v>-8</v>
      </c>
    </row>
    <row r="282" spans="1:15" x14ac:dyDescent="0.3">
      <c r="A282" s="1">
        <v>41918</v>
      </c>
      <c r="B282">
        <v>375648</v>
      </c>
      <c r="C282">
        <v>404179</v>
      </c>
      <c r="D282">
        <v>11579</v>
      </c>
      <c r="E282">
        <v>2014</v>
      </c>
      <c r="F282">
        <v>10</v>
      </c>
      <c r="G282" t="s">
        <v>32</v>
      </c>
      <c r="H282">
        <v>4</v>
      </c>
      <c r="I282">
        <v>6</v>
      </c>
      <c r="J282" t="s">
        <v>16</v>
      </c>
      <c r="K282">
        <v>32</v>
      </c>
      <c r="L282">
        <v>-28531</v>
      </c>
      <c r="M282">
        <v>-2</v>
      </c>
      <c r="N282">
        <v>-8</v>
      </c>
      <c r="O282">
        <v>-8</v>
      </c>
    </row>
    <row r="283" spans="1:15" x14ac:dyDescent="0.3">
      <c r="A283" s="1">
        <v>41919</v>
      </c>
      <c r="B283">
        <v>78112</v>
      </c>
      <c r="C283">
        <v>74252</v>
      </c>
      <c r="D283">
        <v>2127</v>
      </c>
      <c r="E283">
        <v>2014</v>
      </c>
      <c r="F283">
        <v>10</v>
      </c>
      <c r="G283" t="s">
        <v>32</v>
      </c>
      <c r="H283">
        <v>4</v>
      </c>
      <c r="I283">
        <v>7</v>
      </c>
      <c r="J283" t="s">
        <v>17</v>
      </c>
      <c r="K283">
        <v>37</v>
      </c>
      <c r="L283">
        <v>3860</v>
      </c>
      <c r="M283">
        <v>2</v>
      </c>
      <c r="N283">
        <v>5</v>
      </c>
      <c r="O283">
        <v>5</v>
      </c>
    </row>
    <row r="284" spans="1:15" x14ac:dyDescent="0.3">
      <c r="A284" s="1">
        <v>41920</v>
      </c>
      <c r="B284">
        <v>70509</v>
      </c>
      <c r="C284">
        <v>67142</v>
      </c>
      <c r="D284">
        <v>1923</v>
      </c>
      <c r="E284">
        <v>2014</v>
      </c>
      <c r="F284">
        <v>10</v>
      </c>
      <c r="G284" t="s">
        <v>32</v>
      </c>
      <c r="H284">
        <v>4</v>
      </c>
      <c r="I284">
        <v>8</v>
      </c>
      <c r="J284" t="s">
        <v>19</v>
      </c>
      <c r="K284">
        <v>37</v>
      </c>
      <c r="L284">
        <v>3367</v>
      </c>
      <c r="M284">
        <v>2</v>
      </c>
      <c r="N284">
        <v>5</v>
      </c>
      <c r="O284">
        <v>5</v>
      </c>
    </row>
    <row r="285" spans="1:15" x14ac:dyDescent="0.3">
      <c r="A285" s="1">
        <v>41921</v>
      </c>
      <c r="B285">
        <v>103281</v>
      </c>
      <c r="C285">
        <v>98066</v>
      </c>
      <c r="D285">
        <v>2809</v>
      </c>
      <c r="E285">
        <v>2014</v>
      </c>
      <c r="F285">
        <v>10</v>
      </c>
      <c r="G285" t="s">
        <v>32</v>
      </c>
      <c r="H285">
        <v>4</v>
      </c>
      <c r="I285">
        <v>9</v>
      </c>
      <c r="J285" t="s">
        <v>20</v>
      </c>
      <c r="K285">
        <v>37</v>
      </c>
      <c r="L285">
        <v>5215</v>
      </c>
      <c r="M285">
        <v>2</v>
      </c>
      <c r="N285">
        <v>5</v>
      </c>
      <c r="O285">
        <v>5</v>
      </c>
    </row>
    <row r="286" spans="1:15" x14ac:dyDescent="0.3">
      <c r="A286" s="1">
        <v>41922</v>
      </c>
      <c r="B286">
        <v>179841</v>
      </c>
      <c r="C286">
        <v>170758</v>
      </c>
      <c r="D286">
        <v>4891</v>
      </c>
      <c r="E286">
        <v>2014</v>
      </c>
      <c r="F286">
        <v>10</v>
      </c>
      <c r="G286" t="s">
        <v>32</v>
      </c>
      <c r="H286">
        <v>4</v>
      </c>
      <c r="I286">
        <v>10</v>
      </c>
      <c r="J286" t="s">
        <v>21</v>
      </c>
      <c r="K286">
        <v>37</v>
      </c>
      <c r="L286">
        <v>9084</v>
      </c>
      <c r="M286">
        <v>2</v>
      </c>
      <c r="N286">
        <v>5</v>
      </c>
      <c r="O286">
        <v>5</v>
      </c>
    </row>
    <row r="287" spans="1:15" x14ac:dyDescent="0.3">
      <c r="A287" s="1">
        <v>41923</v>
      </c>
      <c r="B287">
        <v>138038</v>
      </c>
      <c r="C287">
        <v>131192</v>
      </c>
      <c r="D287">
        <v>3758</v>
      </c>
      <c r="E287">
        <v>2014</v>
      </c>
      <c r="F287">
        <v>10</v>
      </c>
      <c r="G287" t="s">
        <v>32</v>
      </c>
      <c r="H287">
        <v>4</v>
      </c>
      <c r="I287">
        <v>11</v>
      </c>
      <c r="J287" t="s">
        <v>22</v>
      </c>
      <c r="K287">
        <v>37</v>
      </c>
      <c r="L287">
        <v>6846</v>
      </c>
      <c r="M287">
        <v>2</v>
      </c>
      <c r="N287">
        <v>5</v>
      </c>
      <c r="O287">
        <v>5</v>
      </c>
    </row>
    <row r="288" spans="1:15" x14ac:dyDescent="0.3">
      <c r="A288" s="1">
        <v>41924</v>
      </c>
      <c r="B288">
        <v>61038</v>
      </c>
      <c r="C288">
        <v>57992</v>
      </c>
      <c r="D288">
        <v>1661</v>
      </c>
      <c r="E288">
        <v>2014</v>
      </c>
      <c r="F288">
        <v>10</v>
      </c>
      <c r="G288" t="s">
        <v>32</v>
      </c>
      <c r="H288">
        <v>4</v>
      </c>
      <c r="I288">
        <v>12</v>
      </c>
      <c r="J288" t="s">
        <v>23</v>
      </c>
      <c r="K288">
        <v>37</v>
      </c>
      <c r="L288">
        <v>3045</v>
      </c>
      <c r="M288">
        <v>2</v>
      </c>
      <c r="N288">
        <v>5</v>
      </c>
      <c r="O288">
        <v>5</v>
      </c>
    </row>
    <row r="289" spans="1:15" x14ac:dyDescent="0.3">
      <c r="A289" s="1">
        <v>41925</v>
      </c>
      <c r="B289">
        <v>86800</v>
      </c>
      <c r="C289">
        <v>82392</v>
      </c>
      <c r="D289">
        <v>2360</v>
      </c>
      <c r="E289">
        <v>2014</v>
      </c>
      <c r="F289">
        <v>10</v>
      </c>
      <c r="G289" t="s">
        <v>32</v>
      </c>
      <c r="H289">
        <v>4</v>
      </c>
      <c r="I289">
        <v>13</v>
      </c>
      <c r="J289" t="s">
        <v>16</v>
      </c>
      <c r="K289">
        <v>37</v>
      </c>
      <c r="L289">
        <v>4407</v>
      </c>
      <c r="M289">
        <v>2</v>
      </c>
      <c r="N289">
        <v>5</v>
      </c>
      <c r="O289">
        <v>5</v>
      </c>
    </row>
    <row r="290" spans="1:15" x14ac:dyDescent="0.3">
      <c r="A290" s="1">
        <v>41926</v>
      </c>
      <c r="B290">
        <v>69571</v>
      </c>
      <c r="C290">
        <v>66314</v>
      </c>
      <c r="D290">
        <v>1894</v>
      </c>
      <c r="E290">
        <v>2014</v>
      </c>
      <c r="F290">
        <v>10</v>
      </c>
      <c r="G290" t="s">
        <v>32</v>
      </c>
      <c r="H290">
        <v>4</v>
      </c>
      <c r="I290">
        <v>14</v>
      </c>
      <c r="J290" t="s">
        <v>17</v>
      </c>
      <c r="K290">
        <v>37</v>
      </c>
      <c r="L290">
        <v>3257</v>
      </c>
      <c r="M290">
        <v>2</v>
      </c>
      <c r="N290">
        <v>5</v>
      </c>
      <c r="O290">
        <v>5</v>
      </c>
    </row>
    <row r="291" spans="1:15" x14ac:dyDescent="0.3">
      <c r="A291" s="1">
        <v>41927</v>
      </c>
      <c r="B291">
        <v>130476</v>
      </c>
      <c r="C291">
        <v>124398</v>
      </c>
      <c r="D291">
        <v>3548</v>
      </c>
      <c r="E291">
        <v>2014</v>
      </c>
      <c r="F291">
        <v>10</v>
      </c>
      <c r="G291" t="s">
        <v>32</v>
      </c>
      <c r="H291">
        <v>4</v>
      </c>
      <c r="I291">
        <v>15</v>
      </c>
      <c r="J291" t="s">
        <v>19</v>
      </c>
      <c r="K291">
        <v>37</v>
      </c>
      <c r="L291">
        <v>6078</v>
      </c>
      <c r="M291">
        <v>2</v>
      </c>
      <c r="N291">
        <v>5</v>
      </c>
      <c r="O291">
        <v>5</v>
      </c>
    </row>
    <row r="292" spans="1:15" x14ac:dyDescent="0.3">
      <c r="A292" s="1">
        <v>41928</v>
      </c>
      <c r="B292">
        <v>95230</v>
      </c>
      <c r="C292">
        <v>91088</v>
      </c>
      <c r="D292">
        <v>2591</v>
      </c>
      <c r="E292">
        <v>2014</v>
      </c>
      <c r="F292">
        <v>10</v>
      </c>
      <c r="G292" t="s">
        <v>32</v>
      </c>
      <c r="H292">
        <v>4</v>
      </c>
      <c r="I292">
        <v>16</v>
      </c>
      <c r="J292" t="s">
        <v>20</v>
      </c>
      <c r="K292">
        <v>37</v>
      </c>
      <c r="L292">
        <v>4142</v>
      </c>
      <c r="M292">
        <v>2</v>
      </c>
      <c r="N292">
        <v>4</v>
      </c>
      <c r="O292">
        <v>4</v>
      </c>
    </row>
    <row r="293" spans="1:15" x14ac:dyDescent="0.3">
      <c r="A293" s="1">
        <v>41929</v>
      </c>
      <c r="B293">
        <v>121058</v>
      </c>
      <c r="C293">
        <v>116950</v>
      </c>
      <c r="D293">
        <v>3293</v>
      </c>
      <c r="E293">
        <v>2014</v>
      </c>
      <c r="F293">
        <v>10</v>
      </c>
      <c r="G293" t="s">
        <v>32</v>
      </c>
      <c r="H293">
        <v>4</v>
      </c>
      <c r="I293">
        <v>17</v>
      </c>
      <c r="J293" t="s">
        <v>21</v>
      </c>
      <c r="K293">
        <v>37</v>
      </c>
      <c r="L293">
        <v>4108</v>
      </c>
      <c r="M293">
        <v>1</v>
      </c>
      <c r="N293">
        <v>3</v>
      </c>
      <c r="O293">
        <v>3</v>
      </c>
    </row>
    <row r="294" spans="1:15" x14ac:dyDescent="0.3">
      <c r="A294" s="1">
        <v>41930</v>
      </c>
      <c r="B294">
        <v>169499</v>
      </c>
      <c r="C294">
        <v>164493</v>
      </c>
      <c r="D294">
        <v>4611</v>
      </c>
      <c r="E294">
        <v>2014</v>
      </c>
      <c r="F294">
        <v>10</v>
      </c>
      <c r="G294" t="s">
        <v>32</v>
      </c>
      <c r="H294">
        <v>4</v>
      </c>
      <c r="I294">
        <v>18</v>
      </c>
      <c r="J294" t="s">
        <v>22</v>
      </c>
      <c r="K294">
        <v>37</v>
      </c>
      <c r="L294">
        <v>5006</v>
      </c>
      <c r="M294">
        <v>1</v>
      </c>
      <c r="N294">
        <v>3</v>
      </c>
      <c r="O294">
        <v>3</v>
      </c>
    </row>
    <row r="295" spans="1:15" x14ac:dyDescent="0.3">
      <c r="A295" s="1">
        <v>41931</v>
      </c>
      <c r="B295">
        <v>90692</v>
      </c>
      <c r="C295">
        <v>87911</v>
      </c>
      <c r="D295">
        <v>2468</v>
      </c>
      <c r="E295">
        <v>2014</v>
      </c>
      <c r="F295">
        <v>10</v>
      </c>
      <c r="G295" t="s">
        <v>32</v>
      </c>
      <c r="H295">
        <v>4</v>
      </c>
      <c r="I295">
        <v>19</v>
      </c>
      <c r="J295" t="s">
        <v>23</v>
      </c>
      <c r="K295">
        <v>37</v>
      </c>
      <c r="L295">
        <v>2781</v>
      </c>
      <c r="M295">
        <v>1</v>
      </c>
      <c r="N295">
        <v>3</v>
      </c>
      <c r="O295">
        <v>3</v>
      </c>
    </row>
    <row r="296" spans="1:15" x14ac:dyDescent="0.3">
      <c r="A296" s="1">
        <v>41932</v>
      </c>
      <c r="B296">
        <v>101724</v>
      </c>
      <c r="C296">
        <v>98871</v>
      </c>
      <c r="D296">
        <v>2773</v>
      </c>
      <c r="E296">
        <v>2014</v>
      </c>
      <c r="F296">
        <v>10</v>
      </c>
      <c r="G296" t="s">
        <v>32</v>
      </c>
      <c r="H296">
        <v>4</v>
      </c>
      <c r="I296">
        <v>20</v>
      </c>
      <c r="J296" t="s">
        <v>16</v>
      </c>
      <c r="K296">
        <v>37</v>
      </c>
      <c r="L296">
        <v>2853</v>
      </c>
      <c r="M296">
        <v>1</v>
      </c>
      <c r="N296">
        <v>3</v>
      </c>
      <c r="O296">
        <v>3</v>
      </c>
    </row>
    <row r="297" spans="1:15" x14ac:dyDescent="0.3">
      <c r="A297" s="1">
        <v>41933</v>
      </c>
      <c r="B297">
        <v>103396</v>
      </c>
      <c r="C297">
        <v>100424</v>
      </c>
      <c r="D297">
        <v>2815</v>
      </c>
      <c r="E297">
        <v>2014</v>
      </c>
      <c r="F297">
        <v>10</v>
      </c>
      <c r="G297" t="s">
        <v>32</v>
      </c>
      <c r="H297">
        <v>4</v>
      </c>
      <c r="I297">
        <v>21</v>
      </c>
      <c r="J297" t="s">
        <v>17</v>
      </c>
      <c r="K297">
        <v>37</v>
      </c>
      <c r="L297">
        <v>2972</v>
      </c>
      <c r="M297">
        <v>1</v>
      </c>
      <c r="N297">
        <v>3</v>
      </c>
      <c r="O297">
        <v>3</v>
      </c>
    </row>
    <row r="298" spans="1:15" x14ac:dyDescent="0.3">
      <c r="A298" s="1">
        <v>41934</v>
      </c>
      <c r="B298">
        <v>99076</v>
      </c>
      <c r="C298">
        <v>96512</v>
      </c>
      <c r="D298">
        <v>2701</v>
      </c>
      <c r="E298">
        <v>2014</v>
      </c>
      <c r="F298">
        <v>10</v>
      </c>
      <c r="G298" t="s">
        <v>32</v>
      </c>
      <c r="H298">
        <v>4</v>
      </c>
      <c r="I298">
        <v>22</v>
      </c>
      <c r="J298" t="s">
        <v>19</v>
      </c>
      <c r="K298">
        <v>37</v>
      </c>
      <c r="L298">
        <v>2564</v>
      </c>
      <c r="M298">
        <v>1</v>
      </c>
      <c r="N298">
        <v>3</v>
      </c>
      <c r="O298">
        <v>3</v>
      </c>
    </row>
    <row r="299" spans="1:15" x14ac:dyDescent="0.3">
      <c r="A299" s="1">
        <v>41935</v>
      </c>
      <c r="B299">
        <v>97476</v>
      </c>
      <c r="C299">
        <v>94764</v>
      </c>
      <c r="D299">
        <v>2651</v>
      </c>
      <c r="E299">
        <v>2014</v>
      </c>
      <c r="F299">
        <v>10</v>
      </c>
      <c r="G299" t="s">
        <v>32</v>
      </c>
      <c r="H299">
        <v>4</v>
      </c>
      <c r="I299">
        <v>23</v>
      </c>
      <c r="J299" t="s">
        <v>20</v>
      </c>
      <c r="K299">
        <v>37</v>
      </c>
      <c r="L299">
        <v>2712</v>
      </c>
      <c r="M299">
        <v>1</v>
      </c>
      <c r="N299">
        <v>3</v>
      </c>
      <c r="O299">
        <v>3</v>
      </c>
    </row>
    <row r="300" spans="1:15" x14ac:dyDescent="0.3">
      <c r="A300" s="1">
        <v>41936</v>
      </c>
      <c r="B300">
        <v>248975</v>
      </c>
      <c r="C300">
        <v>241961</v>
      </c>
      <c r="D300">
        <v>6781</v>
      </c>
      <c r="E300">
        <v>2014</v>
      </c>
      <c r="F300">
        <v>10</v>
      </c>
      <c r="G300" t="s">
        <v>32</v>
      </c>
      <c r="H300">
        <v>4</v>
      </c>
      <c r="I300">
        <v>24</v>
      </c>
      <c r="J300" t="s">
        <v>21</v>
      </c>
      <c r="K300">
        <v>37</v>
      </c>
      <c r="L300">
        <v>7014</v>
      </c>
      <c r="M300">
        <v>1</v>
      </c>
      <c r="N300">
        <v>3</v>
      </c>
      <c r="O300">
        <v>3</v>
      </c>
    </row>
    <row r="301" spans="1:15" x14ac:dyDescent="0.3">
      <c r="A301" s="1">
        <v>41937</v>
      </c>
      <c r="B301">
        <v>302722</v>
      </c>
      <c r="C301">
        <v>294130</v>
      </c>
      <c r="D301">
        <v>8249</v>
      </c>
      <c r="E301">
        <v>2014</v>
      </c>
      <c r="F301">
        <v>10</v>
      </c>
      <c r="G301" t="s">
        <v>32</v>
      </c>
      <c r="H301">
        <v>4</v>
      </c>
      <c r="I301">
        <v>25</v>
      </c>
      <c r="J301" t="s">
        <v>22</v>
      </c>
      <c r="K301">
        <v>37</v>
      </c>
      <c r="L301">
        <v>8592</v>
      </c>
      <c r="M301">
        <v>1</v>
      </c>
      <c r="N301">
        <v>3</v>
      </c>
      <c r="O301">
        <v>3</v>
      </c>
    </row>
    <row r="302" spans="1:15" x14ac:dyDescent="0.3">
      <c r="A302" s="1">
        <v>41938</v>
      </c>
      <c r="B302">
        <v>128521</v>
      </c>
      <c r="C302">
        <v>124739</v>
      </c>
      <c r="D302">
        <v>3502</v>
      </c>
      <c r="E302">
        <v>2014</v>
      </c>
      <c r="F302">
        <v>10</v>
      </c>
      <c r="G302" t="s">
        <v>32</v>
      </c>
      <c r="H302">
        <v>4</v>
      </c>
      <c r="I302">
        <v>26</v>
      </c>
      <c r="J302" t="s">
        <v>23</v>
      </c>
      <c r="K302">
        <v>37</v>
      </c>
      <c r="L302">
        <v>3781</v>
      </c>
      <c r="M302">
        <v>1</v>
      </c>
      <c r="N302">
        <v>3</v>
      </c>
      <c r="O302">
        <v>3</v>
      </c>
    </row>
    <row r="303" spans="1:15" x14ac:dyDescent="0.3">
      <c r="A303" s="1">
        <v>41939</v>
      </c>
      <c r="B303">
        <v>145185</v>
      </c>
      <c r="C303">
        <v>140652</v>
      </c>
      <c r="D303">
        <v>3949</v>
      </c>
      <c r="E303">
        <v>2014</v>
      </c>
      <c r="F303">
        <v>10</v>
      </c>
      <c r="G303" t="s">
        <v>32</v>
      </c>
      <c r="H303">
        <v>4</v>
      </c>
      <c r="I303">
        <v>27</v>
      </c>
      <c r="J303" t="s">
        <v>16</v>
      </c>
      <c r="K303">
        <v>37</v>
      </c>
      <c r="L303">
        <v>4533</v>
      </c>
      <c r="M303">
        <v>1</v>
      </c>
      <c r="N303">
        <v>3</v>
      </c>
      <c r="O303">
        <v>3</v>
      </c>
    </row>
    <row r="304" spans="1:15" x14ac:dyDescent="0.3">
      <c r="A304" s="1">
        <v>41940</v>
      </c>
      <c r="B304">
        <v>89528</v>
      </c>
      <c r="C304">
        <v>87067</v>
      </c>
      <c r="D304">
        <v>2435</v>
      </c>
      <c r="E304">
        <v>2014</v>
      </c>
      <c r="F304">
        <v>10</v>
      </c>
      <c r="G304" t="s">
        <v>32</v>
      </c>
      <c r="H304">
        <v>4</v>
      </c>
      <c r="I304">
        <v>28</v>
      </c>
      <c r="J304" t="s">
        <v>17</v>
      </c>
      <c r="K304">
        <v>37</v>
      </c>
      <c r="L304">
        <v>2461</v>
      </c>
      <c r="M304">
        <v>1</v>
      </c>
      <c r="N304">
        <v>3</v>
      </c>
      <c r="O304">
        <v>3</v>
      </c>
    </row>
    <row r="305" spans="1:15" x14ac:dyDescent="0.3">
      <c r="A305" s="1">
        <v>41941</v>
      </c>
      <c r="B305">
        <v>81992</v>
      </c>
      <c r="C305">
        <v>80113</v>
      </c>
      <c r="D305">
        <v>2232</v>
      </c>
      <c r="E305">
        <v>2014</v>
      </c>
      <c r="F305">
        <v>10</v>
      </c>
      <c r="G305" t="s">
        <v>32</v>
      </c>
      <c r="H305">
        <v>4</v>
      </c>
      <c r="I305">
        <v>29</v>
      </c>
      <c r="J305" t="s">
        <v>19</v>
      </c>
      <c r="K305">
        <v>37</v>
      </c>
      <c r="L305">
        <v>1879</v>
      </c>
      <c r="M305">
        <v>1</v>
      </c>
      <c r="N305">
        <v>2</v>
      </c>
      <c r="O305">
        <v>2</v>
      </c>
    </row>
    <row r="306" spans="1:15" x14ac:dyDescent="0.3">
      <c r="A306" s="1">
        <v>41942</v>
      </c>
      <c r="B306">
        <v>69704</v>
      </c>
      <c r="C306">
        <v>68293</v>
      </c>
      <c r="D306">
        <v>1898</v>
      </c>
      <c r="E306">
        <v>2014</v>
      </c>
      <c r="F306">
        <v>10</v>
      </c>
      <c r="G306" t="s">
        <v>32</v>
      </c>
      <c r="H306">
        <v>4</v>
      </c>
      <c r="I306">
        <v>30</v>
      </c>
      <c r="J306" t="s">
        <v>20</v>
      </c>
      <c r="K306">
        <v>37</v>
      </c>
      <c r="L306">
        <v>1411</v>
      </c>
      <c r="M306">
        <v>1</v>
      </c>
      <c r="N306">
        <v>2</v>
      </c>
      <c r="O306">
        <v>2</v>
      </c>
    </row>
    <row r="307" spans="1:15" x14ac:dyDescent="0.3">
      <c r="A307" s="1">
        <v>41943</v>
      </c>
      <c r="B307">
        <v>166652</v>
      </c>
      <c r="C307">
        <v>163320</v>
      </c>
      <c r="D307">
        <v>4537</v>
      </c>
      <c r="E307">
        <v>2014</v>
      </c>
      <c r="F307">
        <v>10</v>
      </c>
      <c r="G307" t="s">
        <v>32</v>
      </c>
      <c r="H307">
        <v>4</v>
      </c>
      <c r="I307">
        <v>31</v>
      </c>
      <c r="J307" t="s">
        <v>21</v>
      </c>
      <c r="K307">
        <v>37</v>
      </c>
      <c r="L307">
        <v>3333</v>
      </c>
      <c r="M307">
        <v>1</v>
      </c>
      <c r="N307">
        <v>2</v>
      </c>
      <c r="O307">
        <v>2</v>
      </c>
    </row>
    <row r="308" spans="1:15" x14ac:dyDescent="0.3">
      <c r="A308" s="1">
        <v>41944</v>
      </c>
      <c r="B308">
        <v>247453</v>
      </c>
      <c r="C308">
        <v>242639</v>
      </c>
      <c r="D308">
        <v>6730</v>
      </c>
      <c r="E308">
        <v>2014</v>
      </c>
      <c r="F308">
        <v>11</v>
      </c>
      <c r="G308" t="s">
        <v>33</v>
      </c>
      <c r="H308">
        <v>4</v>
      </c>
      <c r="I308">
        <v>1</v>
      </c>
      <c r="J308" t="s">
        <v>22</v>
      </c>
      <c r="K308">
        <v>37</v>
      </c>
      <c r="L308">
        <v>4814</v>
      </c>
      <c r="M308">
        <v>1</v>
      </c>
      <c r="N308">
        <v>2</v>
      </c>
      <c r="O308">
        <v>2</v>
      </c>
    </row>
    <row r="309" spans="1:15" x14ac:dyDescent="0.3">
      <c r="A309" s="1">
        <v>41945</v>
      </c>
      <c r="B309">
        <v>148476</v>
      </c>
      <c r="C309">
        <v>145646</v>
      </c>
      <c r="D309">
        <v>4038</v>
      </c>
      <c r="E309">
        <v>2014</v>
      </c>
      <c r="F309">
        <v>11</v>
      </c>
      <c r="G309" t="s">
        <v>33</v>
      </c>
      <c r="H309">
        <v>4</v>
      </c>
      <c r="I309">
        <v>2</v>
      </c>
      <c r="J309" t="s">
        <v>23</v>
      </c>
      <c r="K309">
        <v>37</v>
      </c>
      <c r="L309">
        <v>2830</v>
      </c>
      <c r="M309">
        <v>1</v>
      </c>
      <c r="N309">
        <v>2</v>
      </c>
      <c r="O309">
        <v>2</v>
      </c>
    </row>
    <row r="310" spans="1:15" x14ac:dyDescent="0.3">
      <c r="A310" s="1">
        <v>41946</v>
      </c>
      <c r="B310">
        <v>205369</v>
      </c>
      <c r="C310">
        <v>201281</v>
      </c>
      <c r="D310">
        <v>5581</v>
      </c>
      <c r="E310">
        <v>2014</v>
      </c>
      <c r="F310">
        <v>11</v>
      </c>
      <c r="G310" t="s">
        <v>33</v>
      </c>
      <c r="H310">
        <v>4</v>
      </c>
      <c r="I310">
        <v>3</v>
      </c>
      <c r="J310" t="s">
        <v>16</v>
      </c>
      <c r="K310">
        <v>37</v>
      </c>
      <c r="L310">
        <v>4088</v>
      </c>
      <c r="M310">
        <v>1</v>
      </c>
      <c r="N310">
        <v>2</v>
      </c>
      <c r="O310">
        <v>2</v>
      </c>
    </row>
    <row r="311" spans="1:15" x14ac:dyDescent="0.3">
      <c r="A311" s="1">
        <v>41947</v>
      </c>
      <c r="B311">
        <v>99245</v>
      </c>
      <c r="C311">
        <v>90949</v>
      </c>
      <c r="D311">
        <v>2519</v>
      </c>
      <c r="E311">
        <v>2014</v>
      </c>
      <c r="F311">
        <v>11</v>
      </c>
      <c r="G311" t="s">
        <v>33</v>
      </c>
      <c r="H311">
        <v>4</v>
      </c>
      <c r="I311">
        <v>4</v>
      </c>
      <c r="J311" t="s">
        <v>17</v>
      </c>
      <c r="K311">
        <v>39</v>
      </c>
      <c r="L311">
        <v>8295</v>
      </c>
      <c r="M311">
        <v>3</v>
      </c>
      <c r="N311">
        <v>8</v>
      </c>
      <c r="O311">
        <v>8</v>
      </c>
    </row>
    <row r="312" spans="1:15" x14ac:dyDescent="0.3">
      <c r="A312" s="1">
        <v>41948</v>
      </c>
      <c r="B312">
        <v>72757</v>
      </c>
      <c r="C312">
        <v>67873</v>
      </c>
      <c r="D312">
        <v>1847</v>
      </c>
      <c r="E312">
        <v>2014</v>
      </c>
      <c r="F312">
        <v>11</v>
      </c>
      <c r="G312" t="s">
        <v>33</v>
      </c>
      <c r="H312">
        <v>4</v>
      </c>
      <c r="I312">
        <v>5</v>
      </c>
      <c r="J312" t="s">
        <v>19</v>
      </c>
      <c r="K312">
        <v>39</v>
      </c>
      <c r="L312">
        <v>4884</v>
      </c>
      <c r="M312">
        <v>3</v>
      </c>
      <c r="N312">
        <v>7</v>
      </c>
      <c r="O312">
        <v>7</v>
      </c>
    </row>
    <row r="313" spans="1:15" x14ac:dyDescent="0.3">
      <c r="A313" s="1">
        <v>41949</v>
      </c>
      <c r="B313">
        <v>86867</v>
      </c>
      <c r="C313">
        <v>84486</v>
      </c>
      <c r="D313">
        <v>2309</v>
      </c>
      <c r="E313">
        <v>2014</v>
      </c>
      <c r="F313">
        <v>11</v>
      </c>
      <c r="G313" t="s">
        <v>33</v>
      </c>
      <c r="H313">
        <v>4</v>
      </c>
      <c r="I313">
        <v>6</v>
      </c>
      <c r="J313" t="s">
        <v>20</v>
      </c>
      <c r="K313">
        <v>38</v>
      </c>
      <c r="L313">
        <v>2381</v>
      </c>
      <c r="M313">
        <v>1</v>
      </c>
      <c r="N313">
        <v>3</v>
      </c>
      <c r="O313">
        <v>3</v>
      </c>
    </row>
    <row r="314" spans="1:15" x14ac:dyDescent="0.3">
      <c r="A314" s="1">
        <v>41950</v>
      </c>
      <c r="B314">
        <v>140168</v>
      </c>
      <c r="C314">
        <v>136539</v>
      </c>
      <c r="D314">
        <v>3722</v>
      </c>
      <c r="E314">
        <v>2014</v>
      </c>
      <c r="F314">
        <v>11</v>
      </c>
      <c r="G314" t="s">
        <v>33</v>
      </c>
      <c r="H314">
        <v>4</v>
      </c>
      <c r="I314">
        <v>7</v>
      </c>
      <c r="J314" t="s">
        <v>21</v>
      </c>
      <c r="K314">
        <v>38</v>
      </c>
      <c r="L314">
        <v>3629</v>
      </c>
      <c r="M314">
        <v>1</v>
      </c>
      <c r="N314">
        <v>3</v>
      </c>
      <c r="O314">
        <v>3</v>
      </c>
    </row>
    <row r="315" spans="1:15" x14ac:dyDescent="0.3">
      <c r="A315" s="1">
        <v>41951</v>
      </c>
      <c r="B315">
        <v>160727</v>
      </c>
      <c r="C315">
        <v>156701</v>
      </c>
      <c r="D315">
        <v>4268</v>
      </c>
      <c r="E315">
        <v>2014</v>
      </c>
      <c r="F315">
        <v>11</v>
      </c>
      <c r="G315" t="s">
        <v>33</v>
      </c>
      <c r="H315">
        <v>4</v>
      </c>
      <c r="I315">
        <v>8</v>
      </c>
      <c r="J315" t="s">
        <v>22</v>
      </c>
      <c r="K315">
        <v>38</v>
      </c>
      <c r="L315">
        <v>4026</v>
      </c>
      <c r="M315">
        <v>1</v>
      </c>
      <c r="N315">
        <v>3</v>
      </c>
      <c r="O315">
        <v>3</v>
      </c>
    </row>
    <row r="316" spans="1:15" x14ac:dyDescent="0.3">
      <c r="A316" s="1">
        <v>41952</v>
      </c>
      <c r="B316">
        <v>74116</v>
      </c>
      <c r="C316">
        <v>71994</v>
      </c>
      <c r="D316">
        <v>1968</v>
      </c>
      <c r="E316">
        <v>2014</v>
      </c>
      <c r="F316">
        <v>11</v>
      </c>
      <c r="G316" t="s">
        <v>33</v>
      </c>
      <c r="H316">
        <v>4</v>
      </c>
      <c r="I316">
        <v>9</v>
      </c>
      <c r="J316" t="s">
        <v>23</v>
      </c>
      <c r="K316">
        <v>38</v>
      </c>
      <c r="L316">
        <v>2121</v>
      </c>
      <c r="M316">
        <v>1</v>
      </c>
      <c r="N316">
        <v>3</v>
      </c>
      <c r="O316">
        <v>3</v>
      </c>
    </row>
    <row r="317" spans="1:15" x14ac:dyDescent="0.3">
      <c r="A317" s="1">
        <v>41953</v>
      </c>
      <c r="B317">
        <v>76103</v>
      </c>
      <c r="C317">
        <v>73968</v>
      </c>
      <c r="D317">
        <v>2016</v>
      </c>
      <c r="E317">
        <v>2014</v>
      </c>
      <c r="F317">
        <v>11</v>
      </c>
      <c r="G317" t="s">
        <v>33</v>
      </c>
      <c r="H317">
        <v>4</v>
      </c>
      <c r="I317">
        <v>10</v>
      </c>
      <c r="J317" t="s">
        <v>16</v>
      </c>
      <c r="K317">
        <v>38</v>
      </c>
      <c r="L317">
        <v>2136</v>
      </c>
      <c r="M317">
        <v>1</v>
      </c>
      <c r="N317">
        <v>3</v>
      </c>
      <c r="O317">
        <v>3</v>
      </c>
    </row>
    <row r="318" spans="1:15" x14ac:dyDescent="0.3">
      <c r="A318" s="1">
        <v>41954</v>
      </c>
      <c r="B318">
        <v>56303</v>
      </c>
      <c r="C318">
        <v>54997</v>
      </c>
      <c r="D318">
        <v>1497</v>
      </c>
      <c r="E318">
        <v>2014</v>
      </c>
      <c r="F318">
        <v>11</v>
      </c>
      <c r="G318" t="s">
        <v>33</v>
      </c>
      <c r="H318">
        <v>4</v>
      </c>
      <c r="I318">
        <v>11</v>
      </c>
      <c r="J318" t="s">
        <v>17</v>
      </c>
      <c r="K318">
        <v>38</v>
      </c>
      <c r="L318">
        <v>1306</v>
      </c>
      <c r="M318">
        <v>1</v>
      </c>
      <c r="N318">
        <v>2</v>
      </c>
      <c r="O318">
        <v>2</v>
      </c>
    </row>
    <row r="319" spans="1:15" x14ac:dyDescent="0.3">
      <c r="A319" s="1">
        <v>41955</v>
      </c>
      <c r="B319">
        <v>49437</v>
      </c>
      <c r="C319">
        <v>48290</v>
      </c>
      <c r="D319">
        <v>1314</v>
      </c>
      <c r="E319">
        <v>2014</v>
      </c>
      <c r="F319">
        <v>11</v>
      </c>
      <c r="G319" t="s">
        <v>33</v>
      </c>
      <c r="H319">
        <v>4</v>
      </c>
      <c r="I319">
        <v>12</v>
      </c>
      <c r="J319" t="s">
        <v>19</v>
      </c>
      <c r="K319">
        <v>38</v>
      </c>
      <c r="L319">
        <v>1147</v>
      </c>
      <c r="M319">
        <v>1</v>
      </c>
      <c r="N319">
        <v>2</v>
      </c>
      <c r="O319">
        <v>2</v>
      </c>
    </row>
    <row r="320" spans="1:15" x14ac:dyDescent="0.3">
      <c r="A320" s="1">
        <v>41956</v>
      </c>
      <c r="B320">
        <v>55033</v>
      </c>
      <c r="C320">
        <v>53997</v>
      </c>
      <c r="D320">
        <v>1466</v>
      </c>
      <c r="E320">
        <v>2014</v>
      </c>
      <c r="F320">
        <v>11</v>
      </c>
      <c r="G320" t="s">
        <v>33</v>
      </c>
      <c r="H320">
        <v>4</v>
      </c>
      <c r="I320">
        <v>13</v>
      </c>
      <c r="J320" t="s">
        <v>20</v>
      </c>
      <c r="K320">
        <v>38</v>
      </c>
      <c r="L320">
        <v>1036</v>
      </c>
      <c r="M320">
        <v>1</v>
      </c>
      <c r="N320">
        <v>2</v>
      </c>
      <c r="O320">
        <v>2</v>
      </c>
    </row>
    <row r="321" spans="1:15" x14ac:dyDescent="0.3">
      <c r="A321" s="1">
        <v>41957</v>
      </c>
      <c r="B321">
        <v>149808</v>
      </c>
      <c r="C321">
        <v>146995</v>
      </c>
      <c r="D321">
        <v>3984</v>
      </c>
      <c r="E321">
        <v>2014</v>
      </c>
      <c r="F321">
        <v>11</v>
      </c>
      <c r="G321" t="s">
        <v>33</v>
      </c>
      <c r="H321">
        <v>4</v>
      </c>
      <c r="I321">
        <v>14</v>
      </c>
      <c r="J321" t="s">
        <v>21</v>
      </c>
      <c r="K321">
        <v>38</v>
      </c>
      <c r="L321">
        <v>2813</v>
      </c>
      <c r="M321">
        <v>1</v>
      </c>
      <c r="N321">
        <v>2</v>
      </c>
      <c r="O321">
        <v>2</v>
      </c>
    </row>
    <row r="322" spans="1:15" x14ac:dyDescent="0.3">
      <c r="A322" s="1">
        <v>41958</v>
      </c>
      <c r="B322">
        <v>180686</v>
      </c>
      <c r="C322">
        <v>176898</v>
      </c>
      <c r="D322">
        <v>4802</v>
      </c>
      <c r="E322">
        <v>2014</v>
      </c>
      <c r="F322">
        <v>11</v>
      </c>
      <c r="G322" t="s">
        <v>33</v>
      </c>
      <c r="H322">
        <v>4</v>
      </c>
      <c r="I322">
        <v>15</v>
      </c>
      <c r="J322" t="s">
        <v>22</v>
      </c>
      <c r="K322">
        <v>38</v>
      </c>
      <c r="L322">
        <v>3787</v>
      </c>
      <c r="M322">
        <v>1</v>
      </c>
      <c r="N322">
        <v>2</v>
      </c>
      <c r="O322">
        <v>2</v>
      </c>
    </row>
    <row r="323" spans="1:15" x14ac:dyDescent="0.3">
      <c r="A323" s="1">
        <v>41959</v>
      </c>
      <c r="B323">
        <v>75871</v>
      </c>
      <c r="C323">
        <v>73906</v>
      </c>
      <c r="D323">
        <v>2017</v>
      </c>
      <c r="E323">
        <v>2014</v>
      </c>
      <c r="F323">
        <v>11</v>
      </c>
      <c r="G323" t="s">
        <v>33</v>
      </c>
      <c r="H323">
        <v>4</v>
      </c>
      <c r="I323">
        <v>16</v>
      </c>
      <c r="J323" t="s">
        <v>23</v>
      </c>
      <c r="K323">
        <v>38</v>
      </c>
      <c r="L323">
        <v>1966</v>
      </c>
      <c r="M323">
        <v>1</v>
      </c>
      <c r="N323">
        <v>3</v>
      </c>
      <c r="O323">
        <v>3</v>
      </c>
    </row>
    <row r="324" spans="1:15" x14ac:dyDescent="0.3">
      <c r="A324" s="1">
        <v>41960</v>
      </c>
      <c r="B324">
        <v>86313</v>
      </c>
      <c r="C324">
        <v>84419</v>
      </c>
      <c r="D324">
        <v>2297</v>
      </c>
      <c r="E324">
        <v>2014</v>
      </c>
      <c r="F324">
        <v>11</v>
      </c>
      <c r="G324" t="s">
        <v>33</v>
      </c>
      <c r="H324">
        <v>4</v>
      </c>
      <c r="I324">
        <v>17</v>
      </c>
      <c r="J324" t="s">
        <v>16</v>
      </c>
      <c r="K324">
        <v>38</v>
      </c>
      <c r="L324">
        <v>1895</v>
      </c>
      <c r="M324">
        <v>1</v>
      </c>
      <c r="N324">
        <v>2</v>
      </c>
      <c r="O324">
        <v>2</v>
      </c>
    </row>
    <row r="325" spans="1:15" x14ac:dyDescent="0.3">
      <c r="A325" s="1">
        <v>41961</v>
      </c>
      <c r="B325">
        <v>62632</v>
      </c>
      <c r="C325">
        <v>61158</v>
      </c>
      <c r="D325">
        <v>1665</v>
      </c>
      <c r="E325">
        <v>2014</v>
      </c>
      <c r="F325">
        <v>11</v>
      </c>
      <c r="G325" t="s">
        <v>33</v>
      </c>
      <c r="H325">
        <v>4</v>
      </c>
      <c r="I325">
        <v>18</v>
      </c>
      <c r="J325" t="s">
        <v>17</v>
      </c>
      <c r="K325">
        <v>38</v>
      </c>
      <c r="L325">
        <v>1473</v>
      </c>
      <c r="M325">
        <v>1</v>
      </c>
      <c r="N325">
        <v>2</v>
      </c>
      <c r="O325">
        <v>2</v>
      </c>
    </row>
    <row r="326" spans="1:15" x14ac:dyDescent="0.3">
      <c r="A326" s="1">
        <v>41962</v>
      </c>
      <c r="B326">
        <v>48529</v>
      </c>
      <c r="C326">
        <v>47410</v>
      </c>
      <c r="D326">
        <v>1291</v>
      </c>
      <c r="E326">
        <v>2014</v>
      </c>
      <c r="F326">
        <v>11</v>
      </c>
      <c r="G326" t="s">
        <v>33</v>
      </c>
      <c r="H326">
        <v>4</v>
      </c>
      <c r="I326">
        <v>19</v>
      </c>
      <c r="J326" t="s">
        <v>19</v>
      </c>
      <c r="K326">
        <v>38</v>
      </c>
      <c r="L326">
        <v>1120</v>
      </c>
      <c r="M326">
        <v>1</v>
      </c>
      <c r="N326">
        <v>2</v>
      </c>
      <c r="O326">
        <v>2</v>
      </c>
    </row>
    <row r="327" spans="1:15" x14ac:dyDescent="0.3">
      <c r="A327" s="1">
        <v>41963</v>
      </c>
      <c r="B327">
        <v>51041</v>
      </c>
      <c r="C327">
        <v>50038</v>
      </c>
      <c r="D327">
        <v>1361</v>
      </c>
      <c r="E327">
        <v>2014</v>
      </c>
      <c r="F327">
        <v>11</v>
      </c>
      <c r="G327" t="s">
        <v>33</v>
      </c>
      <c r="H327">
        <v>4</v>
      </c>
      <c r="I327">
        <v>20</v>
      </c>
      <c r="J327" t="s">
        <v>20</v>
      </c>
      <c r="K327">
        <v>38</v>
      </c>
      <c r="L327">
        <v>1003</v>
      </c>
      <c r="M327">
        <v>1</v>
      </c>
      <c r="N327">
        <v>2</v>
      </c>
      <c r="O327">
        <v>2</v>
      </c>
    </row>
    <row r="328" spans="1:15" x14ac:dyDescent="0.3">
      <c r="A328" s="1">
        <v>41964</v>
      </c>
      <c r="B328">
        <v>53974</v>
      </c>
      <c r="C328">
        <v>47192</v>
      </c>
      <c r="D328">
        <v>1281</v>
      </c>
      <c r="E328">
        <v>2014</v>
      </c>
      <c r="F328">
        <v>11</v>
      </c>
      <c r="G328" t="s">
        <v>33</v>
      </c>
      <c r="H328">
        <v>4</v>
      </c>
      <c r="I328">
        <v>21</v>
      </c>
      <c r="J328" t="s">
        <v>21</v>
      </c>
      <c r="K328">
        <v>42</v>
      </c>
      <c r="L328">
        <v>6781</v>
      </c>
      <c r="M328">
        <v>5</v>
      </c>
      <c r="N328">
        <v>13</v>
      </c>
      <c r="O328">
        <v>13</v>
      </c>
    </row>
    <row r="329" spans="1:15" x14ac:dyDescent="0.3">
      <c r="A329" s="1">
        <v>41965</v>
      </c>
      <c r="B329">
        <v>47498</v>
      </c>
      <c r="C329">
        <v>41179</v>
      </c>
      <c r="D329">
        <v>1122</v>
      </c>
      <c r="E329">
        <v>2014</v>
      </c>
      <c r="F329">
        <v>11</v>
      </c>
      <c r="G329" t="s">
        <v>33</v>
      </c>
      <c r="H329">
        <v>4</v>
      </c>
      <c r="I329">
        <v>22</v>
      </c>
      <c r="J329" t="s">
        <v>22</v>
      </c>
      <c r="K329">
        <v>42</v>
      </c>
      <c r="L329">
        <v>6319</v>
      </c>
      <c r="M329">
        <v>6</v>
      </c>
      <c r="N329">
        <v>13</v>
      </c>
      <c r="O329">
        <v>13</v>
      </c>
    </row>
    <row r="330" spans="1:15" x14ac:dyDescent="0.3">
      <c r="A330" s="1">
        <v>41966</v>
      </c>
      <c r="B330">
        <v>31220</v>
      </c>
      <c r="C330">
        <v>26893</v>
      </c>
      <c r="D330">
        <v>737</v>
      </c>
      <c r="E330">
        <v>2014</v>
      </c>
      <c r="F330">
        <v>11</v>
      </c>
      <c r="G330" t="s">
        <v>33</v>
      </c>
      <c r="H330">
        <v>4</v>
      </c>
      <c r="I330">
        <v>23</v>
      </c>
      <c r="J330" t="s">
        <v>23</v>
      </c>
      <c r="K330">
        <v>42</v>
      </c>
      <c r="L330">
        <v>4327</v>
      </c>
      <c r="M330">
        <v>6</v>
      </c>
      <c r="N330">
        <v>14</v>
      </c>
      <c r="O330">
        <v>14</v>
      </c>
    </row>
    <row r="331" spans="1:15" x14ac:dyDescent="0.3">
      <c r="A331" s="1">
        <v>41967</v>
      </c>
      <c r="B331">
        <v>26870</v>
      </c>
      <c r="C331">
        <v>23516</v>
      </c>
      <c r="D331">
        <v>641</v>
      </c>
      <c r="E331">
        <v>2014</v>
      </c>
      <c r="F331">
        <v>11</v>
      </c>
      <c r="G331" t="s">
        <v>33</v>
      </c>
      <c r="H331">
        <v>4</v>
      </c>
      <c r="I331">
        <v>24</v>
      </c>
      <c r="J331" t="s">
        <v>16</v>
      </c>
      <c r="K331">
        <v>42</v>
      </c>
      <c r="L331">
        <v>3354</v>
      </c>
      <c r="M331">
        <v>5</v>
      </c>
      <c r="N331">
        <v>12</v>
      </c>
      <c r="O331">
        <v>12</v>
      </c>
    </row>
    <row r="332" spans="1:15" x14ac:dyDescent="0.3">
      <c r="A332" s="1">
        <v>41968</v>
      </c>
      <c r="B332">
        <v>40531</v>
      </c>
      <c r="C332">
        <v>35674</v>
      </c>
      <c r="D332">
        <v>968</v>
      </c>
      <c r="E332">
        <v>2014</v>
      </c>
      <c r="F332">
        <v>11</v>
      </c>
      <c r="G332" t="s">
        <v>33</v>
      </c>
      <c r="H332">
        <v>4</v>
      </c>
      <c r="I332">
        <v>25</v>
      </c>
      <c r="J332" t="s">
        <v>17</v>
      </c>
      <c r="K332">
        <v>42</v>
      </c>
      <c r="L332">
        <v>4856</v>
      </c>
      <c r="M332">
        <v>5</v>
      </c>
      <c r="N332">
        <v>12</v>
      </c>
      <c r="O332">
        <v>12</v>
      </c>
    </row>
    <row r="333" spans="1:15" x14ac:dyDescent="0.3">
      <c r="A333" s="1">
        <v>41969</v>
      </c>
      <c r="B333">
        <v>30371</v>
      </c>
      <c r="C333">
        <v>26055</v>
      </c>
      <c r="D333">
        <v>709</v>
      </c>
      <c r="E333">
        <v>2014</v>
      </c>
      <c r="F333">
        <v>11</v>
      </c>
      <c r="G333" t="s">
        <v>33</v>
      </c>
      <c r="H333">
        <v>4</v>
      </c>
      <c r="I333">
        <v>26</v>
      </c>
      <c r="J333" t="s">
        <v>19</v>
      </c>
      <c r="K333">
        <v>43</v>
      </c>
      <c r="L333">
        <v>4317</v>
      </c>
      <c r="M333">
        <v>6</v>
      </c>
      <c r="N333">
        <v>14</v>
      </c>
      <c r="O333">
        <v>14</v>
      </c>
    </row>
    <row r="334" spans="1:15" x14ac:dyDescent="0.3">
      <c r="A334" s="1">
        <v>41970</v>
      </c>
      <c r="B334">
        <v>37777</v>
      </c>
      <c r="C334">
        <v>32720</v>
      </c>
      <c r="D334">
        <v>880</v>
      </c>
      <c r="E334">
        <v>2014</v>
      </c>
      <c r="F334">
        <v>11</v>
      </c>
      <c r="G334" t="s">
        <v>33</v>
      </c>
      <c r="H334">
        <v>4</v>
      </c>
      <c r="I334">
        <v>27</v>
      </c>
      <c r="J334" t="s">
        <v>20</v>
      </c>
      <c r="K334">
        <v>43</v>
      </c>
      <c r="L334">
        <v>5057</v>
      </c>
      <c r="M334">
        <v>6</v>
      </c>
      <c r="N334">
        <v>13</v>
      </c>
      <c r="O334">
        <v>13</v>
      </c>
    </row>
    <row r="335" spans="1:15" x14ac:dyDescent="0.3">
      <c r="A335" s="1">
        <v>41971</v>
      </c>
      <c r="B335">
        <v>46818</v>
      </c>
      <c r="C335">
        <v>40653</v>
      </c>
      <c r="D335">
        <v>1096</v>
      </c>
      <c r="E335">
        <v>2014</v>
      </c>
      <c r="F335">
        <v>11</v>
      </c>
      <c r="G335" t="s">
        <v>33</v>
      </c>
      <c r="H335">
        <v>4</v>
      </c>
      <c r="I335">
        <v>28</v>
      </c>
      <c r="J335" t="s">
        <v>21</v>
      </c>
      <c r="K335">
        <v>43</v>
      </c>
      <c r="L335">
        <v>6166</v>
      </c>
      <c r="M335">
        <v>6</v>
      </c>
      <c r="N335">
        <v>13</v>
      </c>
      <c r="O335">
        <v>13</v>
      </c>
    </row>
    <row r="336" spans="1:15" x14ac:dyDescent="0.3">
      <c r="A336" s="1">
        <v>41972</v>
      </c>
      <c r="B336">
        <v>88322</v>
      </c>
      <c r="C336">
        <v>79880</v>
      </c>
      <c r="D336">
        <v>2068</v>
      </c>
      <c r="E336">
        <v>2014</v>
      </c>
      <c r="F336">
        <v>11</v>
      </c>
      <c r="G336" t="s">
        <v>33</v>
      </c>
      <c r="H336">
        <v>4</v>
      </c>
      <c r="I336">
        <v>29</v>
      </c>
      <c r="J336" t="s">
        <v>22</v>
      </c>
      <c r="K336">
        <v>43</v>
      </c>
      <c r="L336">
        <v>8441</v>
      </c>
      <c r="M336">
        <v>4</v>
      </c>
      <c r="N336">
        <v>10</v>
      </c>
      <c r="O336">
        <v>10</v>
      </c>
    </row>
    <row r="337" spans="1:15" x14ac:dyDescent="0.3">
      <c r="A337" s="1">
        <v>41973</v>
      </c>
      <c r="B337">
        <v>101038</v>
      </c>
      <c r="C337">
        <v>93178</v>
      </c>
      <c r="D337">
        <v>2375</v>
      </c>
      <c r="E337">
        <v>2014</v>
      </c>
      <c r="F337">
        <v>11</v>
      </c>
      <c r="G337" t="s">
        <v>33</v>
      </c>
      <c r="H337">
        <v>4</v>
      </c>
      <c r="I337">
        <v>30</v>
      </c>
      <c r="J337" t="s">
        <v>23</v>
      </c>
      <c r="K337">
        <v>43</v>
      </c>
      <c r="L337">
        <v>7860</v>
      </c>
      <c r="M337">
        <v>3</v>
      </c>
      <c r="N337">
        <v>8</v>
      </c>
      <c r="O337">
        <v>8</v>
      </c>
    </row>
    <row r="338" spans="1:15" x14ac:dyDescent="0.3">
      <c r="A338" s="1">
        <v>41974</v>
      </c>
      <c r="B338">
        <v>105101</v>
      </c>
      <c r="C338">
        <v>97257</v>
      </c>
      <c r="D338">
        <v>2492</v>
      </c>
      <c r="E338">
        <v>2014</v>
      </c>
      <c r="F338">
        <v>12</v>
      </c>
      <c r="G338" t="s">
        <v>15</v>
      </c>
      <c r="H338">
        <v>4</v>
      </c>
      <c r="I338">
        <v>1</v>
      </c>
      <c r="J338" t="s">
        <v>16</v>
      </c>
      <c r="K338">
        <v>42</v>
      </c>
      <c r="L338">
        <v>7843</v>
      </c>
      <c r="M338">
        <v>3</v>
      </c>
      <c r="N338">
        <v>7</v>
      </c>
      <c r="O338">
        <v>7</v>
      </c>
    </row>
    <row r="339" spans="1:15" x14ac:dyDescent="0.3">
      <c r="A339" s="1">
        <v>41975</v>
      </c>
      <c r="B339">
        <v>88220</v>
      </c>
      <c r="C339">
        <v>85533</v>
      </c>
      <c r="D339">
        <v>2170</v>
      </c>
      <c r="E339">
        <v>2014</v>
      </c>
      <c r="F339">
        <v>12</v>
      </c>
      <c r="G339" t="s">
        <v>15</v>
      </c>
      <c r="H339">
        <v>4</v>
      </c>
      <c r="I339">
        <v>2</v>
      </c>
      <c r="J339" t="s">
        <v>17</v>
      </c>
      <c r="K339">
        <v>41</v>
      </c>
      <c r="L339">
        <v>2686</v>
      </c>
      <c r="M339">
        <v>1</v>
      </c>
      <c r="N339">
        <v>3</v>
      </c>
      <c r="O339">
        <v>3</v>
      </c>
    </row>
    <row r="340" spans="1:15" x14ac:dyDescent="0.3">
      <c r="A340" s="1">
        <v>41976</v>
      </c>
      <c r="B340">
        <v>71590</v>
      </c>
      <c r="C340">
        <v>69655</v>
      </c>
      <c r="D340">
        <v>1784</v>
      </c>
      <c r="E340">
        <v>2014</v>
      </c>
      <c r="F340">
        <v>12</v>
      </c>
      <c r="G340" t="s">
        <v>15</v>
      </c>
      <c r="H340">
        <v>4</v>
      </c>
      <c r="I340">
        <v>3</v>
      </c>
      <c r="J340" t="s">
        <v>19</v>
      </c>
      <c r="K340">
        <v>40</v>
      </c>
      <c r="L340">
        <v>1935</v>
      </c>
      <c r="M340">
        <v>1</v>
      </c>
      <c r="N340">
        <v>3</v>
      </c>
      <c r="O340">
        <v>3</v>
      </c>
    </row>
    <row r="341" spans="1:15" x14ac:dyDescent="0.3">
      <c r="A341" s="1">
        <v>41977</v>
      </c>
      <c r="B341">
        <v>54997</v>
      </c>
      <c r="C341">
        <v>54503</v>
      </c>
      <c r="D341">
        <v>1368</v>
      </c>
      <c r="E341">
        <v>2014</v>
      </c>
      <c r="F341">
        <v>12</v>
      </c>
      <c r="G341" t="s">
        <v>15</v>
      </c>
      <c r="H341">
        <v>4</v>
      </c>
      <c r="I341">
        <v>4</v>
      </c>
      <c r="J341" t="s">
        <v>20</v>
      </c>
      <c r="K341">
        <v>40</v>
      </c>
      <c r="L341">
        <v>494</v>
      </c>
      <c r="M341">
        <v>0</v>
      </c>
      <c r="N341">
        <v>1</v>
      </c>
      <c r="O341">
        <v>1</v>
      </c>
    </row>
    <row r="342" spans="1:15" x14ac:dyDescent="0.3">
      <c r="A342" s="1">
        <v>41978</v>
      </c>
      <c r="B342">
        <v>77884</v>
      </c>
      <c r="C342">
        <v>77619</v>
      </c>
      <c r="D342">
        <v>1914</v>
      </c>
      <c r="E342">
        <v>2014</v>
      </c>
      <c r="F342">
        <v>12</v>
      </c>
      <c r="G342" t="s">
        <v>15</v>
      </c>
      <c r="H342">
        <v>4</v>
      </c>
      <c r="I342">
        <v>5</v>
      </c>
      <c r="J342" t="s">
        <v>21</v>
      </c>
      <c r="K342">
        <v>41</v>
      </c>
      <c r="L342">
        <v>265</v>
      </c>
      <c r="M342">
        <v>0</v>
      </c>
      <c r="N342">
        <v>0</v>
      </c>
      <c r="O342">
        <v>0</v>
      </c>
    </row>
    <row r="343" spans="1:15" x14ac:dyDescent="0.3">
      <c r="A343" s="1">
        <v>41979</v>
      </c>
      <c r="B343">
        <v>150370</v>
      </c>
      <c r="C343">
        <v>154999</v>
      </c>
      <c r="D343">
        <v>3765</v>
      </c>
      <c r="E343">
        <v>2014</v>
      </c>
      <c r="F343">
        <v>12</v>
      </c>
      <c r="G343" t="s">
        <v>15</v>
      </c>
      <c r="H343">
        <v>4</v>
      </c>
      <c r="I343">
        <v>6</v>
      </c>
      <c r="J343" t="s">
        <v>22</v>
      </c>
      <c r="K343">
        <v>40</v>
      </c>
      <c r="L343">
        <v>-4629</v>
      </c>
      <c r="M343">
        <v>-1</v>
      </c>
      <c r="N343">
        <v>-3</v>
      </c>
      <c r="O343">
        <v>-3</v>
      </c>
    </row>
    <row r="344" spans="1:15" x14ac:dyDescent="0.3">
      <c r="A344" s="1">
        <v>41980</v>
      </c>
      <c r="B344">
        <v>104675</v>
      </c>
      <c r="C344">
        <v>111904</v>
      </c>
      <c r="D344">
        <v>2712</v>
      </c>
      <c r="E344">
        <v>2014</v>
      </c>
      <c r="F344">
        <v>12</v>
      </c>
      <c r="G344" t="s">
        <v>15</v>
      </c>
      <c r="H344">
        <v>4</v>
      </c>
      <c r="I344">
        <v>7</v>
      </c>
      <c r="J344" t="s">
        <v>23</v>
      </c>
      <c r="K344">
        <v>39</v>
      </c>
      <c r="L344">
        <v>-7228</v>
      </c>
      <c r="M344">
        <v>-3</v>
      </c>
      <c r="N344">
        <v>-7</v>
      </c>
      <c r="O344">
        <v>-7</v>
      </c>
    </row>
    <row r="345" spans="1:15" x14ac:dyDescent="0.3">
      <c r="A345" s="1">
        <v>41981</v>
      </c>
      <c r="B345">
        <v>90122</v>
      </c>
      <c r="C345">
        <v>91082</v>
      </c>
      <c r="D345">
        <v>2222</v>
      </c>
      <c r="E345">
        <v>2014</v>
      </c>
      <c r="F345">
        <v>12</v>
      </c>
      <c r="G345" t="s">
        <v>15</v>
      </c>
      <c r="H345">
        <v>4</v>
      </c>
      <c r="I345">
        <v>8</v>
      </c>
      <c r="J345" t="s">
        <v>16</v>
      </c>
      <c r="K345">
        <v>41</v>
      </c>
      <c r="L345">
        <v>-960</v>
      </c>
      <c r="M345">
        <v>0</v>
      </c>
      <c r="N345">
        <v>-1</v>
      </c>
      <c r="O345">
        <v>-1</v>
      </c>
    </row>
    <row r="346" spans="1:15" x14ac:dyDescent="0.3">
      <c r="A346" s="1">
        <v>41982</v>
      </c>
      <c r="B346">
        <v>75425</v>
      </c>
      <c r="C346">
        <v>77014</v>
      </c>
      <c r="D346">
        <v>1861</v>
      </c>
      <c r="E346">
        <v>2014</v>
      </c>
      <c r="F346">
        <v>12</v>
      </c>
      <c r="G346" t="s">
        <v>15</v>
      </c>
      <c r="H346">
        <v>4</v>
      </c>
      <c r="I346">
        <v>9</v>
      </c>
      <c r="J346" t="s">
        <v>17</v>
      </c>
      <c r="K346">
        <v>41</v>
      </c>
      <c r="L346">
        <v>-1589</v>
      </c>
      <c r="M346">
        <v>-1</v>
      </c>
      <c r="N346">
        <v>-2</v>
      </c>
      <c r="O346">
        <v>-2</v>
      </c>
    </row>
    <row r="347" spans="1:15" x14ac:dyDescent="0.3">
      <c r="A347" s="1">
        <v>41983</v>
      </c>
      <c r="B347">
        <v>161845</v>
      </c>
      <c r="C347">
        <v>169349</v>
      </c>
      <c r="D347">
        <v>4095</v>
      </c>
      <c r="E347">
        <v>2014</v>
      </c>
      <c r="F347">
        <v>12</v>
      </c>
      <c r="G347" t="s">
        <v>15</v>
      </c>
      <c r="H347">
        <v>4</v>
      </c>
      <c r="I347">
        <v>10</v>
      </c>
      <c r="J347" t="s">
        <v>19</v>
      </c>
      <c r="K347">
        <v>40</v>
      </c>
      <c r="L347">
        <v>-7504</v>
      </c>
      <c r="M347">
        <v>-2</v>
      </c>
      <c r="N347">
        <v>-5</v>
      </c>
      <c r="O347">
        <v>-5</v>
      </c>
    </row>
    <row r="348" spans="1:15" x14ac:dyDescent="0.3">
      <c r="A348" s="1">
        <v>41984</v>
      </c>
      <c r="B348">
        <v>158603</v>
      </c>
      <c r="C348">
        <v>171693</v>
      </c>
      <c r="D348">
        <v>4157</v>
      </c>
      <c r="E348">
        <v>2014</v>
      </c>
      <c r="F348">
        <v>12</v>
      </c>
      <c r="G348" t="s">
        <v>15</v>
      </c>
      <c r="H348">
        <v>4</v>
      </c>
      <c r="I348">
        <v>11</v>
      </c>
      <c r="J348" t="s">
        <v>20</v>
      </c>
      <c r="K348">
        <v>38</v>
      </c>
      <c r="L348">
        <v>-13090</v>
      </c>
      <c r="M348">
        <v>-3</v>
      </c>
      <c r="N348">
        <v>-8</v>
      </c>
      <c r="O348">
        <v>-8</v>
      </c>
    </row>
    <row r="349" spans="1:15" x14ac:dyDescent="0.3">
      <c r="A349" s="1">
        <v>41985</v>
      </c>
      <c r="B349">
        <v>279092</v>
      </c>
      <c r="C349">
        <v>301236</v>
      </c>
      <c r="D349">
        <v>7259</v>
      </c>
      <c r="E349">
        <v>2014</v>
      </c>
      <c r="F349">
        <v>12</v>
      </c>
      <c r="G349" t="s">
        <v>15</v>
      </c>
      <c r="H349">
        <v>4</v>
      </c>
      <c r="I349">
        <v>12</v>
      </c>
      <c r="J349" t="s">
        <v>21</v>
      </c>
      <c r="K349">
        <v>38</v>
      </c>
      <c r="L349">
        <v>-22144</v>
      </c>
      <c r="M349">
        <v>-3</v>
      </c>
      <c r="N349">
        <v>-8</v>
      </c>
      <c r="O349">
        <v>-8</v>
      </c>
    </row>
    <row r="350" spans="1:15" x14ac:dyDescent="0.3">
      <c r="A350" s="1">
        <v>41986</v>
      </c>
      <c r="B350">
        <v>369351</v>
      </c>
      <c r="C350">
        <v>402565</v>
      </c>
      <c r="D350">
        <v>9654</v>
      </c>
      <c r="E350">
        <v>2014</v>
      </c>
      <c r="F350">
        <v>12</v>
      </c>
      <c r="G350" t="s">
        <v>15</v>
      </c>
      <c r="H350">
        <v>4</v>
      </c>
      <c r="I350">
        <v>13</v>
      </c>
      <c r="J350" t="s">
        <v>22</v>
      </c>
      <c r="K350">
        <v>38</v>
      </c>
      <c r="L350">
        <v>-33214</v>
      </c>
      <c r="M350">
        <v>-3</v>
      </c>
      <c r="N350">
        <v>-9</v>
      </c>
      <c r="O350">
        <v>-9</v>
      </c>
    </row>
    <row r="351" spans="1:15" x14ac:dyDescent="0.3">
      <c r="A351" s="1">
        <v>41987</v>
      </c>
      <c r="B351">
        <v>177500</v>
      </c>
      <c r="C351">
        <v>192327</v>
      </c>
      <c r="D351">
        <v>4632</v>
      </c>
      <c r="E351">
        <v>2014</v>
      </c>
      <c r="F351">
        <v>12</v>
      </c>
      <c r="G351" t="s">
        <v>15</v>
      </c>
      <c r="H351">
        <v>4</v>
      </c>
      <c r="I351">
        <v>14</v>
      </c>
      <c r="J351" t="s">
        <v>23</v>
      </c>
      <c r="K351">
        <v>38</v>
      </c>
      <c r="L351">
        <v>-14827</v>
      </c>
      <c r="M351">
        <v>-3</v>
      </c>
      <c r="N351">
        <v>-8</v>
      </c>
      <c r="O351">
        <v>-8</v>
      </c>
    </row>
    <row r="352" spans="1:15" x14ac:dyDescent="0.3">
      <c r="A352" s="1">
        <v>41988</v>
      </c>
      <c r="B352">
        <v>282247</v>
      </c>
      <c r="C352">
        <v>304490</v>
      </c>
      <c r="D352">
        <v>7341</v>
      </c>
      <c r="E352">
        <v>2014</v>
      </c>
      <c r="F352">
        <v>12</v>
      </c>
      <c r="G352" t="s">
        <v>15</v>
      </c>
      <c r="H352">
        <v>4</v>
      </c>
      <c r="I352">
        <v>15</v>
      </c>
      <c r="J352" t="s">
        <v>16</v>
      </c>
      <c r="K352">
        <v>38</v>
      </c>
      <c r="L352">
        <v>-22243</v>
      </c>
      <c r="M352">
        <v>-3</v>
      </c>
      <c r="N352">
        <v>-8</v>
      </c>
      <c r="O352">
        <v>-8</v>
      </c>
    </row>
    <row r="353" spans="1:15" x14ac:dyDescent="0.3">
      <c r="A353" s="1">
        <v>41989</v>
      </c>
      <c r="B353">
        <v>166038</v>
      </c>
      <c r="C353">
        <v>179571</v>
      </c>
      <c r="D353">
        <v>4308</v>
      </c>
      <c r="E353">
        <v>2014</v>
      </c>
      <c r="F353">
        <v>12</v>
      </c>
      <c r="G353" t="s">
        <v>15</v>
      </c>
      <c r="H353">
        <v>4</v>
      </c>
      <c r="I353">
        <v>16</v>
      </c>
      <c r="J353" t="s">
        <v>17</v>
      </c>
      <c r="K353">
        <v>39</v>
      </c>
      <c r="L353">
        <v>-13533</v>
      </c>
      <c r="M353">
        <v>-3</v>
      </c>
      <c r="N353">
        <v>-8</v>
      </c>
      <c r="O353">
        <v>-8</v>
      </c>
    </row>
    <row r="354" spans="1:15" x14ac:dyDescent="0.3">
      <c r="A354" s="1">
        <v>41990</v>
      </c>
      <c r="B354">
        <v>148911</v>
      </c>
      <c r="C354">
        <v>161138</v>
      </c>
      <c r="D354">
        <v>3865</v>
      </c>
      <c r="E354">
        <v>2014</v>
      </c>
      <c r="F354">
        <v>12</v>
      </c>
      <c r="G354" t="s">
        <v>15</v>
      </c>
      <c r="H354">
        <v>4</v>
      </c>
      <c r="I354">
        <v>17</v>
      </c>
      <c r="J354" t="s">
        <v>19</v>
      </c>
      <c r="K354">
        <v>39</v>
      </c>
      <c r="L354">
        <v>-12227</v>
      </c>
      <c r="M354">
        <v>-3</v>
      </c>
      <c r="N354">
        <v>-8</v>
      </c>
      <c r="O354">
        <v>-8</v>
      </c>
    </row>
    <row r="355" spans="1:15" x14ac:dyDescent="0.3">
      <c r="A355" s="1">
        <v>41991</v>
      </c>
      <c r="B355">
        <v>202359</v>
      </c>
      <c r="C355">
        <v>221436</v>
      </c>
      <c r="D355">
        <v>5288</v>
      </c>
      <c r="E355">
        <v>2014</v>
      </c>
      <c r="F355">
        <v>12</v>
      </c>
      <c r="G355" t="s">
        <v>15</v>
      </c>
      <c r="H355">
        <v>4</v>
      </c>
      <c r="I355">
        <v>18</v>
      </c>
      <c r="J355" t="s">
        <v>20</v>
      </c>
      <c r="K355">
        <v>38</v>
      </c>
      <c r="L355">
        <v>-19077</v>
      </c>
      <c r="M355">
        <v>-4</v>
      </c>
      <c r="N355">
        <v>-9</v>
      </c>
      <c r="O355">
        <v>-9</v>
      </c>
    </row>
    <row r="356" spans="1:15" x14ac:dyDescent="0.3">
      <c r="A356" s="1">
        <v>41992</v>
      </c>
      <c r="B356">
        <v>274344</v>
      </c>
      <c r="C356">
        <v>299517</v>
      </c>
      <c r="D356">
        <v>7141</v>
      </c>
      <c r="E356">
        <v>2014</v>
      </c>
      <c r="F356">
        <v>12</v>
      </c>
      <c r="G356" t="s">
        <v>15</v>
      </c>
      <c r="H356">
        <v>4</v>
      </c>
      <c r="I356">
        <v>19</v>
      </c>
      <c r="J356" t="s">
        <v>21</v>
      </c>
      <c r="K356">
        <v>38</v>
      </c>
      <c r="L356">
        <v>-25173</v>
      </c>
      <c r="M356">
        <v>-4</v>
      </c>
      <c r="N356">
        <v>-9</v>
      </c>
      <c r="O356">
        <v>-9</v>
      </c>
    </row>
    <row r="357" spans="1:15" x14ac:dyDescent="0.3">
      <c r="A357" s="1">
        <v>41993</v>
      </c>
      <c r="B357">
        <v>316167</v>
      </c>
      <c r="C357">
        <v>346378</v>
      </c>
      <c r="D357">
        <v>8268</v>
      </c>
      <c r="E357">
        <v>2014</v>
      </c>
      <c r="F357">
        <v>12</v>
      </c>
      <c r="G357" t="s">
        <v>15</v>
      </c>
      <c r="H357">
        <v>4</v>
      </c>
      <c r="I357">
        <v>20</v>
      </c>
      <c r="J357" t="s">
        <v>22</v>
      </c>
      <c r="K357">
        <v>38</v>
      </c>
      <c r="L357">
        <v>-30211</v>
      </c>
      <c r="M357">
        <v>-4</v>
      </c>
      <c r="N357">
        <v>-10</v>
      </c>
      <c r="O357">
        <v>-10</v>
      </c>
    </row>
    <row r="358" spans="1:15" x14ac:dyDescent="0.3">
      <c r="A358" s="1">
        <v>41994</v>
      </c>
      <c r="B358">
        <v>173833</v>
      </c>
      <c r="C358">
        <v>190645</v>
      </c>
      <c r="D358">
        <v>4541</v>
      </c>
      <c r="E358">
        <v>2014</v>
      </c>
      <c r="F358">
        <v>12</v>
      </c>
      <c r="G358" t="s">
        <v>15</v>
      </c>
      <c r="H358">
        <v>4</v>
      </c>
      <c r="I358">
        <v>21</v>
      </c>
      <c r="J358" t="s">
        <v>23</v>
      </c>
      <c r="K358">
        <v>38</v>
      </c>
      <c r="L358">
        <v>-16811</v>
      </c>
      <c r="M358">
        <v>-4</v>
      </c>
      <c r="N358">
        <v>-10</v>
      </c>
      <c r="O358">
        <v>-10</v>
      </c>
    </row>
    <row r="359" spans="1:15" x14ac:dyDescent="0.3">
      <c r="A359" s="1">
        <v>41995</v>
      </c>
      <c r="B359">
        <v>204565</v>
      </c>
      <c r="C359">
        <v>210189</v>
      </c>
      <c r="D359">
        <v>5014</v>
      </c>
      <c r="E359">
        <v>2014</v>
      </c>
      <c r="F359">
        <v>12</v>
      </c>
      <c r="G359" t="s">
        <v>15</v>
      </c>
      <c r="H359">
        <v>4</v>
      </c>
      <c r="I359">
        <v>22</v>
      </c>
      <c r="J359" t="s">
        <v>16</v>
      </c>
      <c r="K359">
        <v>41</v>
      </c>
      <c r="L359">
        <v>-5624</v>
      </c>
      <c r="M359">
        <v>-1</v>
      </c>
      <c r="N359">
        <v>-3</v>
      </c>
      <c r="O359">
        <v>-3</v>
      </c>
    </row>
    <row r="360" spans="1:15" x14ac:dyDescent="0.3">
      <c r="A360" s="1">
        <v>41996</v>
      </c>
      <c r="B360">
        <v>316395</v>
      </c>
      <c r="C360">
        <v>326627</v>
      </c>
      <c r="D360">
        <v>7778</v>
      </c>
      <c r="E360">
        <v>2014</v>
      </c>
      <c r="F360">
        <v>12</v>
      </c>
      <c r="G360" t="s">
        <v>15</v>
      </c>
      <c r="H360">
        <v>4</v>
      </c>
      <c r="I360">
        <v>23</v>
      </c>
      <c r="J360" t="s">
        <v>17</v>
      </c>
      <c r="K360">
        <v>41</v>
      </c>
      <c r="L360">
        <v>-10232</v>
      </c>
      <c r="M360">
        <v>-1</v>
      </c>
      <c r="N360">
        <v>-3</v>
      </c>
      <c r="O360">
        <v>-3</v>
      </c>
    </row>
    <row r="361" spans="1:15" x14ac:dyDescent="0.3">
      <c r="A361" s="1">
        <v>41997</v>
      </c>
      <c r="B361">
        <v>486230</v>
      </c>
      <c r="C361">
        <v>495909</v>
      </c>
      <c r="D361">
        <v>11809</v>
      </c>
      <c r="E361">
        <v>2014</v>
      </c>
      <c r="F361">
        <v>12</v>
      </c>
      <c r="G361" t="s">
        <v>15</v>
      </c>
      <c r="H361">
        <v>4</v>
      </c>
      <c r="I361">
        <v>24</v>
      </c>
      <c r="J361" t="s">
        <v>19</v>
      </c>
      <c r="K361">
        <v>41</v>
      </c>
      <c r="L361">
        <v>-9679</v>
      </c>
      <c r="M361">
        <v>-1</v>
      </c>
      <c r="N361">
        <v>-2</v>
      </c>
      <c r="O361">
        <v>-2</v>
      </c>
    </row>
    <row r="362" spans="1:15" x14ac:dyDescent="0.3">
      <c r="A362" s="1">
        <v>41998</v>
      </c>
      <c r="B362">
        <v>137687</v>
      </c>
      <c r="C362">
        <v>140526</v>
      </c>
      <c r="D362">
        <v>3344</v>
      </c>
      <c r="E362">
        <v>2014</v>
      </c>
      <c r="F362">
        <v>12</v>
      </c>
      <c r="G362" t="s">
        <v>15</v>
      </c>
      <c r="H362">
        <v>4</v>
      </c>
      <c r="I362">
        <v>25</v>
      </c>
      <c r="J362" t="s">
        <v>20</v>
      </c>
      <c r="K362">
        <v>41</v>
      </c>
      <c r="L362">
        <v>-2839</v>
      </c>
      <c r="M362">
        <v>-1</v>
      </c>
      <c r="N362">
        <v>-2</v>
      </c>
      <c r="O362">
        <v>-2</v>
      </c>
    </row>
    <row r="363" spans="1:15" x14ac:dyDescent="0.3">
      <c r="A363" s="1">
        <v>41999</v>
      </c>
      <c r="B363">
        <v>48103</v>
      </c>
      <c r="C363">
        <v>49028</v>
      </c>
      <c r="D363">
        <v>1169</v>
      </c>
      <c r="E363">
        <v>2014</v>
      </c>
      <c r="F363">
        <v>12</v>
      </c>
      <c r="G363" t="s">
        <v>15</v>
      </c>
      <c r="H363">
        <v>4</v>
      </c>
      <c r="I363">
        <v>26</v>
      </c>
      <c r="J363" t="s">
        <v>21</v>
      </c>
      <c r="K363">
        <v>41</v>
      </c>
      <c r="L363">
        <v>-925</v>
      </c>
      <c r="M363">
        <v>-1</v>
      </c>
      <c r="N363">
        <v>-2</v>
      </c>
      <c r="O363">
        <v>-2</v>
      </c>
    </row>
    <row r="364" spans="1:15" x14ac:dyDescent="0.3">
      <c r="A364" s="1">
        <v>42000</v>
      </c>
      <c r="B364">
        <v>110162</v>
      </c>
      <c r="C364">
        <v>112384</v>
      </c>
      <c r="D364">
        <v>2676</v>
      </c>
      <c r="E364">
        <v>2014</v>
      </c>
      <c r="F364">
        <v>12</v>
      </c>
      <c r="G364" t="s">
        <v>15</v>
      </c>
      <c r="H364">
        <v>4</v>
      </c>
      <c r="I364">
        <v>27</v>
      </c>
      <c r="J364" t="s">
        <v>22</v>
      </c>
      <c r="K364">
        <v>41</v>
      </c>
      <c r="L364">
        <v>-2221</v>
      </c>
      <c r="M364">
        <v>-1</v>
      </c>
      <c r="N364">
        <v>-2</v>
      </c>
      <c r="O364">
        <v>-2</v>
      </c>
    </row>
    <row r="365" spans="1:15" x14ac:dyDescent="0.3">
      <c r="A365" s="1">
        <v>42001</v>
      </c>
      <c r="B365">
        <v>69051</v>
      </c>
      <c r="C365">
        <v>70483</v>
      </c>
      <c r="D365">
        <v>1677</v>
      </c>
      <c r="E365">
        <v>2014</v>
      </c>
      <c r="F365">
        <v>12</v>
      </c>
      <c r="G365" t="s">
        <v>15</v>
      </c>
      <c r="H365">
        <v>4</v>
      </c>
      <c r="I365">
        <v>28</v>
      </c>
      <c r="J365" t="s">
        <v>23</v>
      </c>
      <c r="K365">
        <v>41</v>
      </c>
      <c r="L365">
        <v>-1431</v>
      </c>
      <c r="M365">
        <v>-1</v>
      </c>
      <c r="N365">
        <v>-2</v>
      </c>
      <c r="O365">
        <v>-2</v>
      </c>
    </row>
    <row r="366" spans="1:15" x14ac:dyDescent="0.3">
      <c r="A366" s="1">
        <v>42002</v>
      </c>
      <c r="B366">
        <v>133307</v>
      </c>
      <c r="C366">
        <v>136003</v>
      </c>
      <c r="D366">
        <v>3237</v>
      </c>
      <c r="E366">
        <v>2014</v>
      </c>
      <c r="F366">
        <v>12</v>
      </c>
      <c r="G366" t="s">
        <v>15</v>
      </c>
      <c r="H366">
        <v>4</v>
      </c>
      <c r="I366">
        <v>29</v>
      </c>
      <c r="J366" t="s">
        <v>16</v>
      </c>
      <c r="K366">
        <v>41</v>
      </c>
      <c r="L366">
        <v>-2696</v>
      </c>
      <c r="M366">
        <v>-1</v>
      </c>
      <c r="N366">
        <v>-2</v>
      </c>
      <c r="O366">
        <v>-2</v>
      </c>
    </row>
    <row r="367" spans="1:15" x14ac:dyDescent="0.3">
      <c r="A367" s="1">
        <v>42003</v>
      </c>
      <c r="B367">
        <v>216390</v>
      </c>
      <c r="C367">
        <v>235724</v>
      </c>
      <c r="D367">
        <v>5607</v>
      </c>
      <c r="E367">
        <v>2014</v>
      </c>
      <c r="F367">
        <v>12</v>
      </c>
      <c r="G367" t="s">
        <v>15</v>
      </c>
      <c r="H367">
        <v>4</v>
      </c>
      <c r="I367">
        <v>30</v>
      </c>
      <c r="J367" t="s">
        <v>17</v>
      </c>
      <c r="K367">
        <v>39</v>
      </c>
      <c r="L367">
        <v>-19334</v>
      </c>
      <c r="M367">
        <v>-3</v>
      </c>
      <c r="N367">
        <v>-9</v>
      </c>
      <c r="O367">
        <v>-9</v>
      </c>
    </row>
    <row r="368" spans="1:15" x14ac:dyDescent="0.3">
      <c r="A368" s="1">
        <v>42004</v>
      </c>
      <c r="B368">
        <v>365055</v>
      </c>
      <c r="C368">
        <v>398013</v>
      </c>
      <c r="D368">
        <v>9464</v>
      </c>
      <c r="E368">
        <v>2014</v>
      </c>
      <c r="F368">
        <v>12</v>
      </c>
      <c r="G368" t="s">
        <v>15</v>
      </c>
      <c r="H368">
        <v>4</v>
      </c>
      <c r="I368">
        <v>31</v>
      </c>
      <c r="J368" t="s">
        <v>19</v>
      </c>
      <c r="K368">
        <v>39</v>
      </c>
      <c r="L368">
        <v>-32958</v>
      </c>
      <c r="M368">
        <v>-3</v>
      </c>
      <c r="N368">
        <v>-9</v>
      </c>
      <c r="O368">
        <v>-9</v>
      </c>
    </row>
    <row r="369" spans="1:15" x14ac:dyDescent="0.3">
      <c r="A369" s="1">
        <v>42005</v>
      </c>
      <c r="B369">
        <v>112161</v>
      </c>
      <c r="C369">
        <v>122170</v>
      </c>
      <c r="D369">
        <v>2905</v>
      </c>
      <c r="E369">
        <v>2015</v>
      </c>
      <c r="F369">
        <v>1</v>
      </c>
      <c r="G369" t="s">
        <v>18</v>
      </c>
      <c r="H369">
        <v>1</v>
      </c>
      <c r="I369">
        <v>1</v>
      </c>
      <c r="J369" t="s">
        <v>20</v>
      </c>
      <c r="K369">
        <v>39</v>
      </c>
      <c r="L369">
        <v>-10009</v>
      </c>
      <c r="M369">
        <v>-3</v>
      </c>
      <c r="N369">
        <v>-9</v>
      </c>
      <c r="O369">
        <v>-9</v>
      </c>
    </row>
    <row r="370" spans="1:15" x14ac:dyDescent="0.3">
      <c r="A370" s="1">
        <v>42006</v>
      </c>
      <c r="B370">
        <v>271101</v>
      </c>
      <c r="C370">
        <v>295019</v>
      </c>
      <c r="D370">
        <v>7023</v>
      </c>
      <c r="E370">
        <v>2015</v>
      </c>
      <c r="F370">
        <v>1</v>
      </c>
      <c r="G370" t="s">
        <v>18</v>
      </c>
      <c r="H370">
        <v>1</v>
      </c>
      <c r="I370">
        <v>2</v>
      </c>
      <c r="J370" t="s">
        <v>21</v>
      </c>
      <c r="K370">
        <v>39</v>
      </c>
      <c r="L370">
        <v>-23918</v>
      </c>
      <c r="M370">
        <v>-3</v>
      </c>
      <c r="N370">
        <v>-9</v>
      </c>
      <c r="O370">
        <v>-9</v>
      </c>
    </row>
    <row r="371" spans="1:15" x14ac:dyDescent="0.3">
      <c r="A371" s="1">
        <v>42007</v>
      </c>
      <c r="B371">
        <v>245813</v>
      </c>
      <c r="C371">
        <v>267735</v>
      </c>
      <c r="D371">
        <v>6371</v>
      </c>
      <c r="E371">
        <v>2015</v>
      </c>
      <c r="F371">
        <v>1</v>
      </c>
      <c r="G371" t="s">
        <v>18</v>
      </c>
      <c r="H371">
        <v>1</v>
      </c>
      <c r="I371">
        <v>3</v>
      </c>
      <c r="J371" t="s">
        <v>22</v>
      </c>
      <c r="K371">
        <v>39</v>
      </c>
      <c r="L371">
        <v>-21921</v>
      </c>
      <c r="M371">
        <v>-3</v>
      </c>
      <c r="N371">
        <v>-9</v>
      </c>
      <c r="O371">
        <v>-9</v>
      </c>
    </row>
    <row r="372" spans="1:15" x14ac:dyDescent="0.3">
      <c r="A372" s="1">
        <v>42008</v>
      </c>
      <c r="B372">
        <v>178395</v>
      </c>
      <c r="C372">
        <v>194427</v>
      </c>
      <c r="D372">
        <v>4624</v>
      </c>
      <c r="E372">
        <v>2015</v>
      </c>
      <c r="F372">
        <v>1</v>
      </c>
      <c r="G372" t="s">
        <v>18</v>
      </c>
      <c r="H372">
        <v>1</v>
      </c>
      <c r="I372">
        <v>4</v>
      </c>
      <c r="J372" t="s">
        <v>23</v>
      </c>
      <c r="K372">
        <v>39</v>
      </c>
      <c r="L372">
        <v>-16033</v>
      </c>
      <c r="M372">
        <v>-3</v>
      </c>
      <c r="N372">
        <v>-9</v>
      </c>
      <c r="O372">
        <v>-9</v>
      </c>
    </row>
    <row r="373" spans="1:15" x14ac:dyDescent="0.3">
      <c r="A373" s="1">
        <v>42009</v>
      </c>
      <c r="B373">
        <v>220444</v>
      </c>
      <c r="C373">
        <v>239988</v>
      </c>
      <c r="D373">
        <v>5717</v>
      </c>
      <c r="E373">
        <v>2015</v>
      </c>
      <c r="F373">
        <v>1</v>
      </c>
      <c r="G373" t="s">
        <v>18</v>
      </c>
      <c r="H373">
        <v>1</v>
      </c>
      <c r="I373">
        <v>5</v>
      </c>
      <c r="J373" t="s">
        <v>16</v>
      </c>
      <c r="K373">
        <v>39</v>
      </c>
      <c r="L373">
        <v>-19544</v>
      </c>
      <c r="M373">
        <v>-3</v>
      </c>
      <c r="N373">
        <v>-9</v>
      </c>
      <c r="O373">
        <v>-9</v>
      </c>
    </row>
    <row r="374" spans="1:15" x14ac:dyDescent="0.3">
      <c r="A374" s="1">
        <v>42010</v>
      </c>
      <c r="B374">
        <v>181534</v>
      </c>
      <c r="C374">
        <v>197329</v>
      </c>
      <c r="D374">
        <v>4705</v>
      </c>
      <c r="E374">
        <v>2015</v>
      </c>
      <c r="F374">
        <v>1</v>
      </c>
      <c r="G374" t="s">
        <v>18</v>
      </c>
      <c r="H374">
        <v>1</v>
      </c>
      <c r="I374">
        <v>6</v>
      </c>
      <c r="J374" t="s">
        <v>17</v>
      </c>
      <c r="K374">
        <v>39</v>
      </c>
      <c r="L374">
        <v>-15795</v>
      </c>
      <c r="M374">
        <v>-3</v>
      </c>
      <c r="N374">
        <v>-9</v>
      </c>
      <c r="O374">
        <v>-9</v>
      </c>
    </row>
    <row r="375" spans="1:15" x14ac:dyDescent="0.3">
      <c r="A375" s="1">
        <v>42011</v>
      </c>
      <c r="B375">
        <v>83176</v>
      </c>
      <c r="C375">
        <v>84729</v>
      </c>
      <c r="D375">
        <v>2020</v>
      </c>
      <c r="E375">
        <v>2015</v>
      </c>
      <c r="F375">
        <v>1</v>
      </c>
      <c r="G375" t="s">
        <v>18</v>
      </c>
      <c r="H375">
        <v>1</v>
      </c>
      <c r="I375">
        <v>7</v>
      </c>
      <c r="J375" t="s">
        <v>19</v>
      </c>
      <c r="K375">
        <v>41</v>
      </c>
      <c r="L375">
        <v>-1552</v>
      </c>
      <c r="M375">
        <v>-1</v>
      </c>
      <c r="N375">
        <v>-2</v>
      </c>
      <c r="O375">
        <v>-2</v>
      </c>
    </row>
    <row r="376" spans="1:15" x14ac:dyDescent="0.3">
      <c r="A376" s="1">
        <v>42012</v>
      </c>
      <c r="B376">
        <v>76895</v>
      </c>
      <c r="C376">
        <v>78468</v>
      </c>
      <c r="D376">
        <v>1868</v>
      </c>
      <c r="E376">
        <v>2015</v>
      </c>
      <c r="F376">
        <v>1</v>
      </c>
      <c r="G376" t="s">
        <v>18</v>
      </c>
      <c r="H376">
        <v>1</v>
      </c>
      <c r="I376">
        <v>8</v>
      </c>
      <c r="J376" t="s">
        <v>20</v>
      </c>
      <c r="K376">
        <v>41</v>
      </c>
      <c r="L376">
        <v>-1573</v>
      </c>
      <c r="M376">
        <v>-1</v>
      </c>
      <c r="N376">
        <v>-2</v>
      </c>
      <c r="O376">
        <v>-2</v>
      </c>
    </row>
    <row r="377" spans="1:15" x14ac:dyDescent="0.3">
      <c r="A377" s="1">
        <v>42013</v>
      </c>
      <c r="B377">
        <v>123859</v>
      </c>
      <c r="C377">
        <v>126444</v>
      </c>
      <c r="D377">
        <v>3008</v>
      </c>
      <c r="E377">
        <v>2015</v>
      </c>
      <c r="F377">
        <v>1</v>
      </c>
      <c r="G377" t="s">
        <v>18</v>
      </c>
      <c r="H377">
        <v>1</v>
      </c>
      <c r="I377">
        <v>9</v>
      </c>
      <c r="J377" t="s">
        <v>21</v>
      </c>
      <c r="K377">
        <v>41</v>
      </c>
      <c r="L377">
        <v>-2585</v>
      </c>
      <c r="M377">
        <v>-1</v>
      </c>
      <c r="N377">
        <v>-2</v>
      </c>
      <c r="O377">
        <v>-2</v>
      </c>
    </row>
    <row r="378" spans="1:15" x14ac:dyDescent="0.3">
      <c r="A378" s="1">
        <v>42014</v>
      </c>
      <c r="B378">
        <v>120808</v>
      </c>
      <c r="C378">
        <v>123393</v>
      </c>
      <c r="D378">
        <v>2934</v>
      </c>
      <c r="E378">
        <v>2015</v>
      </c>
      <c r="F378">
        <v>1</v>
      </c>
      <c r="G378" t="s">
        <v>18</v>
      </c>
      <c r="H378">
        <v>1</v>
      </c>
      <c r="I378">
        <v>10</v>
      </c>
      <c r="J378" t="s">
        <v>22</v>
      </c>
      <c r="K378">
        <v>41</v>
      </c>
      <c r="L378">
        <v>-2585</v>
      </c>
      <c r="M378">
        <v>-1</v>
      </c>
      <c r="N378">
        <v>-2</v>
      </c>
      <c r="O378">
        <v>-2</v>
      </c>
    </row>
    <row r="379" spans="1:15" x14ac:dyDescent="0.3">
      <c r="A379" s="1">
        <v>42015</v>
      </c>
      <c r="B379">
        <v>69597</v>
      </c>
      <c r="C379">
        <v>71051</v>
      </c>
      <c r="D379">
        <v>1690</v>
      </c>
      <c r="E379">
        <v>2015</v>
      </c>
      <c r="F379">
        <v>1</v>
      </c>
      <c r="G379" t="s">
        <v>18</v>
      </c>
      <c r="H379">
        <v>1</v>
      </c>
      <c r="I379">
        <v>11</v>
      </c>
      <c r="J379" t="s">
        <v>23</v>
      </c>
      <c r="K379">
        <v>41</v>
      </c>
      <c r="L379">
        <v>-1454</v>
      </c>
      <c r="M379">
        <v>-1</v>
      </c>
      <c r="N379">
        <v>-2</v>
      </c>
      <c r="O379">
        <v>-2</v>
      </c>
    </row>
    <row r="380" spans="1:15" x14ac:dyDescent="0.3">
      <c r="A380" s="1">
        <v>42016</v>
      </c>
      <c r="B380">
        <v>84738</v>
      </c>
      <c r="C380">
        <v>86468</v>
      </c>
      <c r="D380">
        <v>2058</v>
      </c>
      <c r="E380">
        <v>2015</v>
      </c>
      <c r="F380">
        <v>1</v>
      </c>
      <c r="G380" t="s">
        <v>18</v>
      </c>
      <c r="H380">
        <v>1</v>
      </c>
      <c r="I380">
        <v>12</v>
      </c>
      <c r="J380" t="s">
        <v>16</v>
      </c>
      <c r="K380">
        <v>41</v>
      </c>
      <c r="L380">
        <v>-1729</v>
      </c>
      <c r="M380">
        <v>-1</v>
      </c>
      <c r="N380">
        <v>-2</v>
      </c>
      <c r="O380">
        <v>-2</v>
      </c>
    </row>
    <row r="381" spans="1:15" x14ac:dyDescent="0.3">
      <c r="A381" s="1">
        <v>42017</v>
      </c>
      <c r="B381">
        <v>64654</v>
      </c>
      <c r="C381">
        <v>65980</v>
      </c>
      <c r="D381">
        <v>1570</v>
      </c>
      <c r="E381">
        <v>2015</v>
      </c>
      <c r="F381">
        <v>1</v>
      </c>
      <c r="G381" t="s">
        <v>18</v>
      </c>
      <c r="H381">
        <v>1</v>
      </c>
      <c r="I381">
        <v>13</v>
      </c>
      <c r="J381" t="s">
        <v>17</v>
      </c>
      <c r="K381">
        <v>41</v>
      </c>
      <c r="L381">
        <v>-1326</v>
      </c>
      <c r="M381">
        <v>-1</v>
      </c>
      <c r="N381">
        <v>-2</v>
      </c>
      <c r="O381">
        <v>-2</v>
      </c>
    </row>
    <row r="382" spans="1:15" x14ac:dyDescent="0.3">
      <c r="A382" s="1">
        <v>42018</v>
      </c>
      <c r="B382">
        <v>59553</v>
      </c>
      <c r="C382">
        <v>60703</v>
      </c>
      <c r="D382">
        <v>1446</v>
      </c>
      <c r="E382">
        <v>2015</v>
      </c>
      <c r="F382">
        <v>1</v>
      </c>
      <c r="G382" t="s">
        <v>18</v>
      </c>
      <c r="H382">
        <v>1</v>
      </c>
      <c r="I382">
        <v>14</v>
      </c>
      <c r="J382" t="s">
        <v>19</v>
      </c>
      <c r="K382">
        <v>41</v>
      </c>
      <c r="L382">
        <v>-1150</v>
      </c>
      <c r="M382">
        <v>-1</v>
      </c>
      <c r="N382">
        <v>-2</v>
      </c>
      <c r="O382">
        <v>-2</v>
      </c>
    </row>
    <row r="383" spans="1:15" x14ac:dyDescent="0.3">
      <c r="A383" s="1">
        <v>42019</v>
      </c>
      <c r="B383">
        <v>79081</v>
      </c>
      <c r="C383">
        <v>80338</v>
      </c>
      <c r="D383">
        <v>1921</v>
      </c>
      <c r="E383">
        <v>2015</v>
      </c>
      <c r="F383">
        <v>1</v>
      </c>
      <c r="G383" t="s">
        <v>18</v>
      </c>
      <c r="H383">
        <v>1</v>
      </c>
      <c r="I383">
        <v>15</v>
      </c>
      <c r="J383" t="s">
        <v>20</v>
      </c>
      <c r="K383">
        <v>41</v>
      </c>
      <c r="L383">
        <v>-1257</v>
      </c>
      <c r="M383">
        <v>-1</v>
      </c>
      <c r="N383">
        <v>-2</v>
      </c>
      <c r="O383">
        <v>-2</v>
      </c>
    </row>
    <row r="384" spans="1:15" x14ac:dyDescent="0.3">
      <c r="A384" s="1">
        <v>42020</v>
      </c>
      <c r="B384">
        <v>149444</v>
      </c>
      <c r="C384">
        <v>152031</v>
      </c>
      <c r="D384">
        <v>3629</v>
      </c>
      <c r="E384">
        <v>2015</v>
      </c>
      <c r="F384">
        <v>1</v>
      </c>
      <c r="G384" t="s">
        <v>18</v>
      </c>
      <c r="H384">
        <v>1</v>
      </c>
      <c r="I384">
        <v>16</v>
      </c>
      <c r="J384" t="s">
        <v>21</v>
      </c>
      <c r="K384">
        <v>41</v>
      </c>
      <c r="L384">
        <v>-2587</v>
      </c>
      <c r="M384">
        <v>-1</v>
      </c>
      <c r="N384">
        <v>-2</v>
      </c>
      <c r="O384">
        <v>-2</v>
      </c>
    </row>
    <row r="385" spans="1:15" x14ac:dyDescent="0.3">
      <c r="A385" s="1">
        <v>42021</v>
      </c>
      <c r="B385">
        <v>170624</v>
      </c>
      <c r="C385">
        <v>173547</v>
      </c>
      <c r="D385">
        <v>4144</v>
      </c>
      <c r="E385">
        <v>2015</v>
      </c>
      <c r="F385">
        <v>1</v>
      </c>
      <c r="G385" t="s">
        <v>18</v>
      </c>
      <c r="H385">
        <v>1</v>
      </c>
      <c r="I385">
        <v>17</v>
      </c>
      <c r="J385" t="s">
        <v>22</v>
      </c>
      <c r="K385">
        <v>41</v>
      </c>
      <c r="L385">
        <v>-2923</v>
      </c>
      <c r="M385">
        <v>-1</v>
      </c>
      <c r="N385">
        <v>-2</v>
      </c>
      <c r="O385">
        <v>-2</v>
      </c>
    </row>
    <row r="386" spans="1:15" x14ac:dyDescent="0.3">
      <c r="A386" s="1">
        <v>42022</v>
      </c>
      <c r="B386">
        <v>74744</v>
      </c>
      <c r="C386">
        <v>76004</v>
      </c>
      <c r="D386">
        <v>1815</v>
      </c>
      <c r="E386">
        <v>2015</v>
      </c>
      <c r="F386">
        <v>1</v>
      </c>
      <c r="G386" t="s">
        <v>18</v>
      </c>
      <c r="H386">
        <v>1</v>
      </c>
      <c r="I386">
        <v>18</v>
      </c>
      <c r="J386" t="s">
        <v>23</v>
      </c>
      <c r="K386">
        <v>41</v>
      </c>
      <c r="L386">
        <v>-1260</v>
      </c>
      <c r="M386">
        <v>-1</v>
      </c>
      <c r="N386">
        <v>-2</v>
      </c>
      <c r="O386">
        <v>-2</v>
      </c>
    </row>
    <row r="387" spans="1:15" x14ac:dyDescent="0.3">
      <c r="A387" s="1">
        <v>42023</v>
      </c>
      <c r="B387">
        <v>90144</v>
      </c>
      <c r="C387">
        <v>91111</v>
      </c>
      <c r="D387">
        <v>2189</v>
      </c>
      <c r="E387">
        <v>2015</v>
      </c>
      <c r="F387">
        <v>1</v>
      </c>
      <c r="G387" t="s">
        <v>18</v>
      </c>
      <c r="H387">
        <v>1</v>
      </c>
      <c r="I387">
        <v>19</v>
      </c>
      <c r="J387" t="s">
        <v>16</v>
      </c>
      <c r="K387">
        <v>41</v>
      </c>
      <c r="L387">
        <v>-967</v>
      </c>
      <c r="M387">
        <v>0</v>
      </c>
      <c r="N387">
        <v>-1</v>
      </c>
      <c r="O387">
        <v>-1</v>
      </c>
    </row>
    <row r="388" spans="1:15" x14ac:dyDescent="0.3">
      <c r="A388" s="1">
        <v>42024</v>
      </c>
      <c r="B388">
        <v>97827</v>
      </c>
      <c r="C388">
        <v>99134</v>
      </c>
      <c r="D388">
        <v>2376</v>
      </c>
      <c r="E388">
        <v>2015</v>
      </c>
      <c r="F388">
        <v>1</v>
      </c>
      <c r="G388" t="s">
        <v>18</v>
      </c>
      <c r="H388">
        <v>1</v>
      </c>
      <c r="I388">
        <v>20</v>
      </c>
      <c r="J388" t="s">
        <v>17</v>
      </c>
      <c r="K388">
        <v>41</v>
      </c>
      <c r="L388">
        <v>-1307</v>
      </c>
      <c r="M388">
        <v>-1</v>
      </c>
      <c r="N388">
        <v>-1</v>
      </c>
      <c r="O388">
        <v>-1</v>
      </c>
    </row>
    <row r="389" spans="1:15" x14ac:dyDescent="0.3">
      <c r="A389" s="1">
        <v>42025</v>
      </c>
      <c r="B389">
        <v>62796</v>
      </c>
      <c r="C389">
        <v>64144</v>
      </c>
      <c r="D389">
        <v>1525</v>
      </c>
      <c r="E389">
        <v>2015</v>
      </c>
      <c r="F389">
        <v>1</v>
      </c>
      <c r="G389" t="s">
        <v>18</v>
      </c>
      <c r="H389">
        <v>1</v>
      </c>
      <c r="I389">
        <v>21</v>
      </c>
      <c r="J389" t="s">
        <v>19</v>
      </c>
      <c r="K389">
        <v>41</v>
      </c>
      <c r="L389">
        <v>-1348</v>
      </c>
      <c r="M389">
        <v>-1</v>
      </c>
      <c r="N389">
        <v>-2</v>
      </c>
      <c r="O389">
        <v>-2</v>
      </c>
    </row>
    <row r="390" spans="1:15" x14ac:dyDescent="0.3">
      <c r="A390" s="1">
        <v>42026</v>
      </c>
      <c r="B390">
        <v>66551</v>
      </c>
      <c r="C390">
        <v>67952</v>
      </c>
      <c r="D390">
        <v>1616</v>
      </c>
      <c r="E390">
        <v>2015</v>
      </c>
      <c r="F390">
        <v>1</v>
      </c>
      <c r="G390" t="s">
        <v>18</v>
      </c>
      <c r="H390">
        <v>1</v>
      </c>
      <c r="I390">
        <v>22</v>
      </c>
      <c r="J390" t="s">
        <v>20</v>
      </c>
      <c r="K390">
        <v>41</v>
      </c>
      <c r="L390">
        <v>-1401</v>
      </c>
      <c r="M390">
        <v>-1</v>
      </c>
      <c r="N390">
        <v>-2</v>
      </c>
      <c r="O390">
        <v>-2</v>
      </c>
    </row>
    <row r="391" spans="1:15" x14ac:dyDescent="0.3">
      <c r="A391" s="1">
        <v>42027</v>
      </c>
      <c r="B391">
        <v>154671</v>
      </c>
      <c r="C391">
        <v>158032</v>
      </c>
      <c r="D391">
        <v>3757</v>
      </c>
      <c r="E391">
        <v>2015</v>
      </c>
      <c r="F391">
        <v>1</v>
      </c>
      <c r="G391" t="s">
        <v>18</v>
      </c>
      <c r="H391">
        <v>1</v>
      </c>
      <c r="I391">
        <v>23</v>
      </c>
      <c r="J391" t="s">
        <v>21</v>
      </c>
      <c r="K391">
        <v>41</v>
      </c>
      <c r="L391">
        <v>-3361</v>
      </c>
      <c r="M391">
        <v>-1</v>
      </c>
      <c r="N391">
        <v>-2</v>
      </c>
      <c r="O391">
        <v>-2</v>
      </c>
    </row>
    <row r="392" spans="1:15" x14ac:dyDescent="0.3">
      <c r="A392" s="1">
        <v>42028</v>
      </c>
      <c r="B392">
        <v>158722</v>
      </c>
      <c r="C392">
        <v>162082</v>
      </c>
      <c r="D392">
        <v>3855</v>
      </c>
      <c r="E392">
        <v>2015</v>
      </c>
      <c r="F392">
        <v>1</v>
      </c>
      <c r="G392" t="s">
        <v>18</v>
      </c>
      <c r="H392">
        <v>1</v>
      </c>
      <c r="I392">
        <v>24</v>
      </c>
      <c r="J392" t="s">
        <v>22</v>
      </c>
      <c r="K392">
        <v>41</v>
      </c>
      <c r="L392">
        <v>-3360</v>
      </c>
      <c r="M392">
        <v>-1</v>
      </c>
      <c r="N392">
        <v>-2</v>
      </c>
      <c r="O392">
        <v>-2</v>
      </c>
    </row>
    <row r="393" spans="1:15" x14ac:dyDescent="0.3">
      <c r="A393" s="1">
        <v>42029</v>
      </c>
      <c r="B393">
        <v>78092</v>
      </c>
      <c r="C393">
        <v>79795</v>
      </c>
      <c r="D393">
        <v>1897</v>
      </c>
      <c r="E393">
        <v>2015</v>
      </c>
      <c r="F393">
        <v>1</v>
      </c>
      <c r="G393" t="s">
        <v>18</v>
      </c>
      <c r="H393">
        <v>1</v>
      </c>
      <c r="I393">
        <v>25</v>
      </c>
      <c r="J393" t="s">
        <v>23</v>
      </c>
      <c r="K393">
        <v>41</v>
      </c>
      <c r="L393">
        <v>-1703</v>
      </c>
      <c r="M393">
        <v>-1</v>
      </c>
      <c r="N393">
        <v>-2</v>
      </c>
      <c r="O393">
        <v>-2</v>
      </c>
    </row>
    <row r="394" spans="1:15" x14ac:dyDescent="0.3">
      <c r="A394" s="1">
        <v>42030</v>
      </c>
      <c r="B394">
        <v>91830</v>
      </c>
      <c r="C394">
        <v>93808</v>
      </c>
      <c r="D394">
        <v>2230</v>
      </c>
      <c r="E394">
        <v>2015</v>
      </c>
      <c r="F394">
        <v>1</v>
      </c>
      <c r="G394" t="s">
        <v>18</v>
      </c>
      <c r="H394">
        <v>1</v>
      </c>
      <c r="I394">
        <v>26</v>
      </c>
      <c r="J394" t="s">
        <v>16</v>
      </c>
      <c r="K394">
        <v>41</v>
      </c>
      <c r="L394">
        <v>-1978</v>
      </c>
      <c r="M394">
        <v>-1</v>
      </c>
      <c r="N394">
        <v>-2</v>
      </c>
      <c r="O394">
        <v>-2</v>
      </c>
    </row>
    <row r="395" spans="1:15" x14ac:dyDescent="0.3">
      <c r="A395" s="1">
        <v>42031</v>
      </c>
      <c r="B395">
        <v>76993</v>
      </c>
      <c r="C395">
        <v>78614</v>
      </c>
      <c r="D395">
        <v>1870</v>
      </c>
      <c r="E395">
        <v>2015</v>
      </c>
      <c r="F395">
        <v>1</v>
      </c>
      <c r="G395" t="s">
        <v>18</v>
      </c>
      <c r="H395">
        <v>1</v>
      </c>
      <c r="I395">
        <v>27</v>
      </c>
      <c r="J395" t="s">
        <v>17</v>
      </c>
      <c r="K395">
        <v>41</v>
      </c>
      <c r="L395">
        <v>-1622</v>
      </c>
      <c r="M395">
        <v>-1</v>
      </c>
      <c r="N395">
        <v>-2</v>
      </c>
      <c r="O395">
        <v>-2</v>
      </c>
    </row>
    <row r="396" spans="1:15" x14ac:dyDescent="0.3">
      <c r="A396" s="1">
        <v>42032</v>
      </c>
      <c r="B396">
        <v>59898</v>
      </c>
      <c r="C396">
        <v>61194</v>
      </c>
      <c r="D396">
        <v>1455</v>
      </c>
      <c r="E396">
        <v>2015</v>
      </c>
      <c r="F396">
        <v>1</v>
      </c>
      <c r="G396" t="s">
        <v>18</v>
      </c>
      <c r="H396">
        <v>1</v>
      </c>
      <c r="I396">
        <v>28</v>
      </c>
      <c r="J396" t="s">
        <v>19</v>
      </c>
      <c r="K396">
        <v>41</v>
      </c>
      <c r="L396">
        <v>-1296</v>
      </c>
      <c r="M396">
        <v>-1</v>
      </c>
      <c r="N396">
        <v>-2</v>
      </c>
      <c r="O396">
        <v>-2</v>
      </c>
    </row>
    <row r="397" spans="1:15" x14ac:dyDescent="0.3">
      <c r="A397" s="1">
        <v>42033</v>
      </c>
      <c r="B397">
        <v>57310</v>
      </c>
      <c r="C397">
        <v>58531</v>
      </c>
      <c r="D397">
        <v>1392</v>
      </c>
      <c r="E397">
        <v>2015</v>
      </c>
      <c r="F397">
        <v>1</v>
      </c>
      <c r="G397" t="s">
        <v>18</v>
      </c>
      <c r="H397">
        <v>1</v>
      </c>
      <c r="I397">
        <v>29</v>
      </c>
      <c r="J397" t="s">
        <v>20</v>
      </c>
      <c r="K397">
        <v>41</v>
      </c>
      <c r="L397">
        <v>-1221</v>
      </c>
      <c r="M397">
        <v>-1</v>
      </c>
      <c r="N397">
        <v>-2</v>
      </c>
      <c r="O397">
        <v>-2</v>
      </c>
    </row>
    <row r="398" spans="1:15" x14ac:dyDescent="0.3">
      <c r="A398" s="1">
        <v>42034</v>
      </c>
      <c r="B398">
        <v>134540</v>
      </c>
      <c r="C398">
        <v>137222</v>
      </c>
      <c r="D398">
        <v>3268</v>
      </c>
      <c r="E398">
        <v>2015</v>
      </c>
      <c r="F398">
        <v>1</v>
      </c>
      <c r="G398" t="s">
        <v>18</v>
      </c>
      <c r="H398">
        <v>1</v>
      </c>
      <c r="I398">
        <v>30</v>
      </c>
      <c r="J398" t="s">
        <v>21</v>
      </c>
      <c r="K398">
        <v>41</v>
      </c>
      <c r="L398">
        <v>-2681</v>
      </c>
      <c r="M398">
        <v>-1</v>
      </c>
      <c r="N398">
        <v>-2</v>
      </c>
      <c r="O398">
        <v>-2</v>
      </c>
    </row>
    <row r="399" spans="1:15" x14ac:dyDescent="0.3">
      <c r="A399" s="1">
        <v>42035</v>
      </c>
      <c r="B399">
        <v>200194</v>
      </c>
      <c r="C399">
        <v>203815</v>
      </c>
      <c r="D399">
        <v>4862</v>
      </c>
      <c r="E399">
        <v>2015</v>
      </c>
      <c r="F399">
        <v>1</v>
      </c>
      <c r="G399" t="s">
        <v>18</v>
      </c>
      <c r="H399">
        <v>1</v>
      </c>
      <c r="I399">
        <v>31</v>
      </c>
      <c r="J399" t="s">
        <v>22</v>
      </c>
      <c r="K399">
        <v>41</v>
      </c>
      <c r="L399">
        <v>-3621</v>
      </c>
      <c r="M399">
        <v>-1</v>
      </c>
      <c r="N399">
        <v>-2</v>
      </c>
      <c r="O399">
        <v>-2</v>
      </c>
    </row>
    <row r="400" spans="1:15" x14ac:dyDescent="0.3">
      <c r="A400" s="1">
        <v>42036</v>
      </c>
      <c r="B400">
        <v>171470</v>
      </c>
      <c r="C400">
        <v>174652</v>
      </c>
      <c r="D400">
        <v>4165</v>
      </c>
      <c r="E400">
        <v>2015</v>
      </c>
      <c r="F400">
        <v>2</v>
      </c>
      <c r="G400" t="s">
        <v>24</v>
      </c>
      <c r="H400">
        <v>1</v>
      </c>
      <c r="I400">
        <v>1</v>
      </c>
      <c r="J400" t="s">
        <v>23</v>
      </c>
      <c r="K400">
        <v>41</v>
      </c>
      <c r="L400">
        <v>-3183</v>
      </c>
      <c r="M400">
        <v>-1</v>
      </c>
      <c r="N400">
        <v>-2</v>
      </c>
      <c r="O400">
        <v>-2</v>
      </c>
    </row>
    <row r="401" spans="1:15" x14ac:dyDescent="0.3">
      <c r="A401" s="1">
        <v>42037</v>
      </c>
      <c r="B401">
        <v>151737</v>
      </c>
      <c r="C401">
        <v>154149</v>
      </c>
      <c r="D401">
        <v>3685</v>
      </c>
      <c r="E401">
        <v>2015</v>
      </c>
      <c r="F401">
        <v>2</v>
      </c>
      <c r="G401" t="s">
        <v>24</v>
      </c>
      <c r="H401">
        <v>1</v>
      </c>
      <c r="I401">
        <v>2</v>
      </c>
      <c r="J401" t="s">
        <v>16</v>
      </c>
      <c r="K401">
        <v>41</v>
      </c>
      <c r="L401">
        <v>-2411</v>
      </c>
      <c r="M401">
        <v>-1</v>
      </c>
      <c r="N401">
        <v>-2</v>
      </c>
      <c r="O401">
        <v>-2</v>
      </c>
    </row>
    <row r="402" spans="1:15" x14ac:dyDescent="0.3">
      <c r="A402" s="1">
        <v>42038</v>
      </c>
      <c r="B402">
        <v>102072</v>
      </c>
      <c r="C402">
        <v>103635</v>
      </c>
      <c r="D402">
        <v>2479</v>
      </c>
      <c r="E402">
        <v>2015</v>
      </c>
      <c r="F402">
        <v>2</v>
      </c>
      <c r="G402" t="s">
        <v>24</v>
      </c>
      <c r="H402">
        <v>1</v>
      </c>
      <c r="I402">
        <v>3</v>
      </c>
      <c r="J402" t="s">
        <v>17</v>
      </c>
      <c r="K402">
        <v>41</v>
      </c>
      <c r="L402">
        <v>-1563</v>
      </c>
      <c r="M402">
        <v>-1</v>
      </c>
      <c r="N402">
        <v>-2</v>
      </c>
      <c r="O402">
        <v>-2</v>
      </c>
    </row>
    <row r="403" spans="1:15" x14ac:dyDescent="0.3">
      <c r="A403" s="1">
        <v>42039</v>
      </c>
      <c r="B403">
        <v>82514</v>
      </c>
      <c r="C403">
        <v>83232</v>
      </c>
      <c r="D403">
        <v>2005</v>
      </c>
      <c r="E403">
        <v>2015</v>
      </c>
      <c r="F403">
        <v>2</v>
      </c>
      <c r="G403" t="s">
        <v>24</v>
      </c>
      <c r="H403">
        <v>1</v>
      </c>
      <c r="I403">
        <v>4</v>
      </c>
      <c r="J403" t="s">
        <v>19</v>
      </c>
      <c r="K403">
        <v>41</v>
      </c>
      <c r="L403">
        <v>-718</v>
      </c>
      <c r="M403">
        <v>0</v>
      </c>
      <c r="N403">
        <v>-1</v>
      </c>
      <c r="O403">
        <v>-1</v>
      </c>
    </row>
    <row r="404" spans="1:15" x14ac:dyDescent="0.3">
      <c r="A404" s="1">
        <v>42040</v>
      </c>
      <c r="B404">
        <v>46211</v>
      </c>
      <c r="C404">
        <v>46407</v>
      </c>
      <c r="D404">
        <v>1122</v>
      </c>
      <c r="E404">
        <v>2015</v>
      </c>
      <c r="F404">
        <v>2</v>
      </c>
      <c r="G404" t="s">
        <v>24</v>
      </c>
      <c r="H404">
        <v>1</v>
      </c>
      <c r="I404">
        <v>5</v>
      </c>
      <c r="J404" t="s">
        <v>20</v>
      </c>
      <c r="K404">
        <v>41</v>
      </c>
      <c r="L404">
        <v>-196</v>
      </c>
      <c r="M404">
        <v>0</v>
      </c>
      <c r="N404">
        <v>0</v>
      </c>
      <c r="O404">
        <v>0</v>
      </c>
    </row>
    <row r="405" spans="1:15" x14ac:dyDescent="0.3">
      <c r="A405" s="1">
        <v>42041</v>
      </c>
      <c r="B405">
        <v>85730</v>
      </c>
      <c r="C405">
        <v>85766</v>
      </c>
      <c r="D405">
        <v>2082</v>
      </c>
      <c r="E405">
        <v>2015</v>
      </c>
      <c r="F405">
        <v>2</v>
      </c>
      <c r="G405" t="s">
        <v>24</v>
      </c>
      <c r="H405">
        <v>1</v>
      </c>
      <c r="I405">
        <v>6</v>
      </c>
      <c r="J405" t="s">
        <v>21</v>
      </c>
      <c r="K405">
        <v>41</v>
      </c>
      <c r="L405">
        <v>-35</v>
      </c>
      <c r="M405">
        <v>0</v>
      </c>
      <c r="N405">
        <v>0</v>
      </c>
      <c r="O405">
        <v>0</v>
      </c>
    </row>
    <row r="406" spans="1:15" x14ac:dyDescent="0.3">
      <c r="A406" s="1">
        <v>42042</v>
      </c>
      <c r="B406">
        <v>105918</v>
      </c>
      <c r="C406">
        <v>105663</v>
      </c>
      <c r="D406">
        <v>2573</v>
      </c>
      <c r="E406">
        <v>2015</v>
      </c>
      <c r="F406">
        <v>2</v>
      </c>
      <c r="G406" t="s">
        <v>24</v>
      </c>
      <c r="H406">
        <v>1</v>
      </c>
      <c r="I406">
        <v>7</v>
      </c>
      <c r="J406" t="s">
        <v>22</v>
      </c>
      <c r="K406">
        <v>41</v>
      </c>
      <c r="L406">
        <v>256</v>
      </c>
      <c r="M406">
        <v>0</v>
      </c>
      <c r="N406">
        <v>0</v>
      </c>
      <c r="O406">
        <v>0</v>
      </c>
    </row>
    <row r="407" spans="1:15" x14ac:dyDescent="0.3">
      <c r="A407" s="1">
        <v>42043</v>
      </c>
      <c r="B407">
        <v>73042</v>
      </c>
      <c r="C407">
        <v>73046</v>
      </c>
      <c r="D407">
        <v>1774</v>
      </c>
      <c r="E407">
        <v>2015</v>
      </c>
      <c r="F407">
        <v>2</v>
      </c>
      <c r="G407" t="s">
        <v>24</v>
      </c>
      <c r="H407">
        <v>1</v>
      </c>
      <c r="I407">
        <v>8</v>
      </c>
      <c r="J407" t="s">
        <v>23</v>
      </c>
      <c r="K407">
        <v>41</v>
      </c>
      <c r="L407">
        <v>-5</v>
      </c>
      <c r="M407">
        <v>0</v>
      </c>
      <c r="N407">
        <v>0</v>
      </c>
      <c r="O407">
        <v>0</v>
      </c>
    </row>
    <row r="408" spans="1:15" x14ac:dyDescent="0.3">
      <c r="A408" s="1">
        <v>42044</v>
      </c>
      <c r="B408">
        <v>97909</v>
      </c>
      <c r="C408">
        <v>97098</v>
      </c>
      <c r="D408">
        <v>2378</v>
      </c>
      <c r="E408">
        <v>2015</v>
      </c>
      <c r="F408">
        <v>2</v>
      </c>
      <c r="G408" t="s">
        <v>24</v>
      </c>
      <c r="H408">
        <v>1</v>
      </c>
      <c r="I408">
        <v>9</v>
      </c>
      <c r="J408" t="s">
        <v>16</v>
      </c>
      <c r="K408">
        <v>41</v>
      </c>
      <c r="L408">
        <v>811</v>
      </c>
      <c r="M408">
        <v>0</v>
      </c>
      <c r="N408">
        <v>1</v>
      </c>
      <c r="O408">
        <v>1</v>
      </c>
    </row>
    <row r="409" spans="1:15" x14ac:dyDescent="0.3">
      <c r="A409" s="1">
        <v>42045</v>
      </c>
      <c r="B409">
        <v>138667</v>
      </c>
      <c r="C409">
        <v>148523</v>
      </c>
      <c r="D409">
        <v>3677</v>
      </c>
      <c r="E409">
        <v>2015</v>
      </c>
      <c r="F409">
        <v>2</v>
      </c>
      <c r="G409" t="s">
        <v>24</v>
      </c>
      <c r="H409">
        <v>1</v>
      </c>
      <c r="I409">
        <v>10</v>
      </c>
      <c r="J409" t="s">
        <v>17</v>
      </c>
      <c r="K409">
        <v>38</v>
      </c>
      <c r="L409">
        <v>-9855</v>
      </c>
      <c r="M409">
        <v>-3</v>
      </c>
      <c r="N409">
        <v>-7</v>
      </c>
      <c r="O409">
        <v>-7</v>
      </c>
    </row>
    <row r="410" spans="1:15" x14ac:dyDescent="0.3">
      <c r="A410" s="1">
        <v>42046</v>
      </c>
      <c r="B410">
        <v>162162</v>
      </c>
      <c r="C410">
        <v>173662</v>
      </c>
      <c r="D410">
        <v>4299</v>
      </c>
      <c r="E410">
        <v>2015</v>
      </c>
      <c r="F410">
        <v>2</v>
      </c>
      <c r="G410" t="s">
        <v>24</v>
      </c>
      <c r="H410">
        <v>1</v>
      </c>
      <c r="I410">
        <v>11</v>
      </c>
      <c r="J410" t="s">
        <v>19</v>
      </c>
      <c r="K410">
        <v>38</v>
      </c>
      <c r="L410">
        <v>-11500</v>
      </c>
      <c r="M410">
        <v>-3</v>
      </c>
      <c r="N410">
        <v>-7</v>
      </c>
      <c r="O410">
        <v>-7</v>
      </c>
    </row>
    <row r="411" spans="1:15" x14ac:dyDescent="0.3">
      <c r="A411" s="1">
        <v>42047</v>
      </c>
      <c r="B411">
        <v>138520</v>
      </c>
      <c r="C411">
        <v>147756</v>
      </c>
      <c r="D411">
        <v>3674</v>
      </c>
      <c r="E411">
        <v>2015</v>
      </c>
      <c r="F411">
        <v>2</v>
      </c>
      <c r="G411" t="s">
        <v>24</v>
      </c>
      <c r="H411">
        <v>1</v>
      </c>
      <c r="I411">
        <v>12</v>
      </c>
      <c r="J411" t="s">
        <v>20</v>
      </c>
      <c r="K411">
        <v>38</v>
      </c>
      <c r="L411">
        <v>-9236</v>
      </c>
      <c r="M411">
        <v>-3</v>
      </c>
      <c r="N411">
        <v>-7</v>
      </c>
      <c r="O411">
        <v>-7</v>
      </c>
    </row>
    <row r="412" spans="1:15" x14ac:dyDescent="0.3">
      <c r="A412" s="1">
        <v>42048</v>
      </c>
      <c r="B412">
        <v>358597</v>
      </c>
      <c r="C412">
        <v>382447</v>
      </c>
      <c r="D412">
        <v>9505</v>
      </c>
      <c r="E412">
        <v>2015</v>
      </c>
      <c r="F412">
        <v>2</v>
      </c>
      <c r="G412" t="s">
        <v>24</v>
      </c>
      <c r="H412">
        <v>1</v>
      </c>
      <c r="I412">
        <v>13</v>
      </c>
      <c r="J412" t="s">
        <v>21</v>
      </c>
      <c r="K412">
        <v>38</v>
      </c>
      <c r="L412">
        <v>-23850</v>
      </c>
      <c r="M412">
        <v>-3</v>
      </c>
      <c r="N412">
        <v>-7</v>
      </c>
      <c r="O412">
        <v>-7</v>
      </c>
    </row>
    <row r="413" spans="1:15" x14ac:dyDescent="0.3">
      <c r="A413" s="1">
        <v>42049</v>
      </c>
      <c r="B413">
        <v>424010</v>
      </c>
      <c r="C413">
        <v>451548</v>
      </c>
      <c r="D413">
        <v>11237</v>
      </c>
      <c r="E413">
        <v>2015</v>
      </c>
      <c r="F413">
        <v>2</v>
      </c>
      <c r="G413" t="s">
        <v>24</v>
      </c>
      <c r="H413">
        <v>1</v>
      </c>
      <c r="I413">
        <v>14</v>
      </c>
      <c r="J413" t="s">
        <v>22</v>
      </c>
      <c r="K413">
        <v>38</v>
      </c>
      <c r="L413">
        <v>-27538</v>
      </c>
      <c r="M413">
        <v>-2</v>
      </c>
      <c r="N413">
        <v>-6</v>
      </c>
      <c r="O413">
        <v>-6</v>
      </c>
    </row>
    <row r="414" spans="1:15" x14ac:dyDescent="0.3">
      <c r="A414" s="1">
        <v>42050</v>
      </c>
      <c r="B414">
        <v>203861</v>
      </c>
      <c r="C414">
        <v>217066</v>
      </c>
      <c r="D414">
        <v>5406</v>
      </c>
      <c r="E414">
        <v>2015</v>
      </c>
      <c r="F414">
        <v>2</v>
      </c>
      <c r="G414" t="s">
        <v>24</v>
      </c>
      <c r="H414">
        <v>1</v>
      </c>
      <c r="I414">
        <v>15</v>
      </c>
      <c r="J414" t="s">
        <v>23</v>
      </c>
      <c r="K414">
        <v>38</v>
      </c>
      <c r="L414">
        <v>-13204</v>
      </c>
      <c r="M414">
        <v>-2</v>
      </c>
      <c r="N414">
        <v>-6</v>
      </c>
      <c r="O414">
        <v>-6</v>
      </c>
    </row>
    <row r="415" spans="1:15" x14ac:dyDescent="0.3">
      <c r="A415" s="1">
        <v>42051</v>
      </c>
      <c r="B415">
        <v>220506</v>
      </c>
      <c r="C415">
        <v>234723</v>
      </c>
      <c r="D415">
        <v>5846</v>
      </c>
      <c r="E415">
        <v>2015</v>
      </c>
      <c r="F415">
        <v>2</v>
      </c>
      <c r="G415" t="s">
        <v>24</v>
      </c>
      <c r="H415">
        <v>1</v>
      </c>
      <c r="I415">
        <v>16</v>
      </c>
      <c r="J415" t="s">
        <v>16</v>
      </c>
      <c r="K415">
        <v>38</v>
      </c>
      <c r="L415">
        <v>-14217</v>
      </c>
      <c r="M415">
        <v>-2</v>
      </c>
      <c r="N415">
        <v>-6</v>
      </c>
      <c r="O415">
        <v>-6</v>
      </c>
    </row>
    <row r="416" spans="1:15" x14ac:dyDescent="0.3">
      <c r="A416" s="1">
        <v>42052</v>
      </c>
      <c r="B416">
        <v>139936</v>
      </c>
      <c r="C416">
        <v>148698</v>
      </c>
      <c r="D416">
        <v>3713</v>
      </c>
      <c r="E416">
        <v>2015</v>
      </c>
      <c r="F416">
        <v>2</v>
      </c>
      <c r="G416" t="s">
        <v>24</v>
      </c>
      <c r="H416">
        <v>1</v>
      </c>
      <c r="I416">
        <v>17</v>
      </c>
      <c r="J416" t="s">
        <v>17</v>
      </c>
      <c r="K416">
        <v>38</v>
      </c>
      <c r="L416">
        <v>-8762</v>
      </c>
      <c r="M416">
        <v>-2</v>
      </c>
      <c r="N416">
        <v>-6</v>
      </c>
      <c r="O416">
        <v>-6</v>
      </c>
    </row>
    <row r="417" spans="1:15" x14ac:dyDescent="0.3">
      <c r="A417" s="1">
        <v>42053</v>
      </c>
      <c r="B417">
        <v>161065</v>
      </c>
      <c r="C417">
        <v>170739</v>
      </c>
      <c r="D417">
        <v>4270</v>
      </c>
      <c r="E417">
        <v>2015</v>
      </c>
      <c r="F417">
        <v>2</v>
      </c>
      <c r="G417" t="s">
        <v>24</v>
      </c>
      <c r="H417">
        <v>1</v>
      </c>
      <c r="I417">
        <v>18</v>
      </c>
      <c r="J417" t="s">
        <v>19</v>
      </c>
      <c r="K417">
        <v>38</v>
      </c>
      <c r="L417">
        <v>-9675</v>
      </c>
      <c r="M417">
        <v>-2</v>
      </c>
      <c r="N417">
        <v>-6</v>
      </c>
      <c r="O417">
        <v>-6</v>
      </c>
    </row>
    <row r="418" spans="1:15" x14ac:dyDescent="0.3">
      <c r="A418" s="1">
        <v>42054</v>
      </c>
      <c r="B418">
        <v>144329</v>
      </c>
      <c r="C418">
        <v>152824</v>
      </c>
      <c r="D418">
        <v>3827</v>
      </c>
      <c r="E418">
        <v>2015</v>
      </c>
      <c r="F418">
        <v>2</v>
      </c>
      <c r="G418" t="s">
        <v>24</v>
      </c>
      <c r="H418">
        <v>1</v>
      </c>
      <c r="I418">
        <v>19</v>
      </c>
      <c r="J418" t="s">
        <v>20</v>
      </c>
      <c r="K418">
        <v>38</v>
      </c>
      <c r="L418">
        <v>-8496</v>
      </c>
      <c r="M418">
        <v>-2</v>
      </c>
      <c r="N418">
        <v>-6</v>
      </c>
      <c r="O418">
        <v>-6</v>
      </c>
    </row>
    <row r="419" spans="1:15" x14ac:dyDescent="0.3">
      <c r="A419" s="1">
        <v>42055</v>
      </c>
      <c r="B419">
        <v>293072</v>
      </c>
      <c r="C419">
        <v>310240</v>
      </c>
      <c r="D419">
        <v>7770</v>
      </c>
      <c r="E419">
        <v>2015</v>
      </c>
      <c r="F419">
        <v>2</v>
      </c>
      <c r="G419" t="s">
        <v>24</v>
      </c>
      <c r="H419">
        <v>1</v>
      </c>
      <c r="I419">
        <v>20</v>
      </c>
      <c r="J419" t="s">
        <v>21</v>
      </c>
      <c r="K419">
        <v>38</v>
      </c>
      <c r="L419">
        <v>-17169</v>
      </c>
      <c r="M419">
        <v>-2</v>
      </c>
      <c r="N419">
        <v>-6</v>
      </c>
      <c r="O419">
        <v>-6</v>
      </c>
    </row>
    <row r="420" spans="1:15" x14ac:dyDescent="0.3">
      <c r="A420" s="1">
        <v>42056</v>
      </c>
      <c r="B420">
        <v>267782</v>
      </c>
      <c r="C420">
        <v>283430</v>
      </c>
      <c r="D420">
        <v>7102</v>
      </c>
      <c r="E420">
        <v>2015</v>
      </c>
      <c r="F420">
        <v>2</v>
      </c>
      <c r="G420" t="s">
        <v>24</v>
      </c>
      <c r="H420">
        <v>1</v>
      </c>
      <c r="I420">
        <v>21</v>
      </c>
      <c r="J420" t="s">
        <v>22</v>
      </c>
      <c r="K420">
        <v>38</v>
      </c>
      <c r="L420">
        <v>-15648</v>
      </c>
      <c r="M420">
        <v>-2</v>
      </c>
      <c r="N420">
        <v>-6</v>
      </c>
      <c r="O420">
        <v>-6</v>
      </c>
    </row>
    <row r="421" spans="1:15" x14ac:dyDescent="0.3">
      <c r="A421" s="1">
        <v>42057</v>
      </c>
      <c r="B421">
        <v>136053</v>
      </c>
      <c r="C421">
        <v>144020</v>
      </c>
      <c r="D421">
        <v>3608</v>
      </c>
      <c r="E421">
        <v>2015</v>
      </c>
      <c r="F421">
        <v>2</v>
      </c>
      <c r="G421" t="s">
        <v>24</v>
      </c>
      <c r="H421">
        <v>1</v>
      </c>
      <c r="I421">
        <v>22</v>
      </c>
      <c r="J421" t="s">
        <v>23</v>
      </c>
      <c r="K421">
        <v>38</v>
      </c>
      <c r="L421">
        <v>-7967</v>
      </c>
      <c r="M421">
        <v>-2</v>
      </c>
      <c r="N421">
        <v>-6</v>
      </c>
      <c r="O421">
        <v>-6</v>
      </c>
    </row>
    <row r="422" spans="1:15" x14ac:dyDescent="0.3">
      <c r="A422" s="1">
        <v>42058</v>
      </c>
      <c r="B422">
        <v>86703</v>
      </c>
      <c r="C422">
        <v>85731</v>
      </c>
      <c r="D422">
        <v>2150</v>
      </c>
      <c r="E422">
        <v>2015</v>
      </c>
      <c r="F422">
        <v>2</v>
      </c>
      <c r="G422" t="s">
        <v>24</v>
      </c>
      <c r="H422">
        <v>1</v>
      </c>
      <c r="I422">
        <v>23</v>
      </c>
      <c r="J422" t="s">
        <v>16</v>
      </c>
      <c r="K422">
        <v>40</v>
      </c>
      <c r="L422">
        <v>972</v>
      </c>
      <c r="M422">
        <v>0</v>
      </c>
      <c r="N422">
        <v>1</v>
      </c>
      <c r="O422">
        <v>1</v>
      </c>
    </row>
    <row r="423" spans="1:15" x14ac:dyDescent="0.3">
      <c r="A423" s="1">
        <v>42059</v>
      </c>
      <c r="B423">
        <v>95474</v>
      </c>
      <c r="C423">
        <v>100868</v>
      </c>
      <c r="D423">
        <v>2530</v>
      </c>
      <c r="E423">
        <v>2015</v>
      </c>
      <c r="F423">
        <v>2</v>
      </c>
      <c r="G423" t="s">
        <v>24</v>
      </c>
      <c r="H423">
        <v>1</v>
      </c>
      <c r="I423">
        <v>24</v>
      </c>
      <c r="J423" t="s">
        <v>17</v>
      </c>
      <c r="K423">
        <v>38</v>
      </c>
      <c r="L423">
        <v>-5393</v>
      </c>
      <c r="M423">
        <v>-2</v>
      </c>
      <c r="N423">
        <v>-6</v>
      </c>
      <c r="O423">
        <v>-6</v>
      </c>
    </row>
    <row r="424" spans="1:15" x14ac:dyDescent="0.3">
      <c r="A424" s="1">
        <v>42060</v>
      </c>
      <c r="B424">
        <v>198432</v>
      </c>
      <c r="C424">
        <v>209500</v>
      </c>
      <c r="D424">
        <v>5253</v>
      </c>
      <c r="E424">
        <v>2015</v>
      </c>
      <c r="F424">
        <v>2</v>
      </c>
      <c r="G424" t="s">
        <v>24</v>
      </c>
      <c r="H424">
        <v>1</v>
      </c>
      <c r="I424">
        <v>25</v>
      </c>
      <c r="J424" t="s">
        <v>19</v>
      </c>
      <c r="K424">
        <v>38</v>
      </c>
      <c r="L424">
        <v>-11068</v>
      </c>
      <c r="M424">
        <v>-2</v>
      </c>
      <c r="N424">
        <v>-6</v>
      </c>
      <c r="O424">
        <v>-6</v>
      </c>
    </row>
    <row r="425" spans="1:15" x14ac:dyDescent="0.3">
      <c r="A425" s="1">
        <v>42061</v>
      </c>
      <c r="B425">
        <v>157292</v>
      </c>
      <c r="C425">
        <v>166305</v>
      </c>
      <c r="D425">
        <v>4171</v>
      </c>
      <c r="E425">
        <v>2015</v>
      </c>
      <c r="F425">
        <v>2</v>
      </c>
      <c r="G425" t="s">
        <v>24</v>
      </c>
      <c r="H425">
        <v>1</v>
      </c>
      <c r="I425">
        <v>26</v>
      </c>
      <c r="J425" t="s">
        <v>20</v>
      </c>
      <c r="K425">
        <v>38</v>
      </c>
      <c r="L425">
        <v>-9013</v>
      </c>
      <c r="M425">
        <v>-2</v>
      </c>
      <c r="N425">
        <v>-6</v>
      </c>
      <c r="O425">
        <v>-6</v>
      </c>
    </row>
    <row r="426" spans="1:15" x14ac:dyDescent="0.3">
      <c r="A426" s="1">
        <v>42062</v>
      </c>
      <c r="B426">
        <v>307541</v>
      </c>
      <c r="C426">
        <v>324997</v>
      </c>
      <c r="D426">
        <v>8156</v>
      </c>
      <c r="E426">
        <v>2015</v>
      </c>
      <c r="F426">
        <v>2</v>
      </c>
      <c r="G426" t="s">
        <v>24</v>
      </c>
      <c r="H426">
        <v>1</v>
      </c>
      <c r="I426">
        <v>27</v>
      </c>
      <c r="J426" t="s">
        <v>21</v>
      </c>
      <c r="K426">
        <v>38</v>
      </c>
      <c r="L426">
        <v>-17457</v>
      </c>
      <c r="M426">
        <v>-2</v>
      </c>
      <c r="N426">
        <v>-6</v>
      </c>
      <c r="O426">
        <v>-6</v>
      </c>
    </row>
    <row r="427" spans="1:15" x14ac:dyDescent="0.3">
      <c r="A427" s="1">
        <v>42063</v>
      </c>
      <c r="B427">
        <v>350899</v>
      </c>
      <c r="C427">
        <v>375031</v>
      </c>
      <c r="D427">
        <v>9296</v>
      </c>
      <c r="E427">
        <v>2015</v>
      </c>
      <c r="F427">
        <v>2</v>
      </c>
      <c r="G427" t="s">
        <v>24</v>
      </c>
      <c r="H427">
        <v>1</v>
      </c>
      <c r="I427">
        <v>28</v>
      </c>
      <c r="J427" t="s">
        <v>22</v>
      </c>
      <c r="K427">
        <v>38</v>
      </c>
      <c r="L427">
        <v>-24132</v>
      </c>
      <c r="M427">
        <v>-3</v>
      </c>
      <c r="N427">
        <v>-7</v>
      </c>
      <c r="O427">
        <v>-7</v>
      </c>
    </row>
    <row r="428" spans="1:15" x14ac:dyDescent="0.3">
      <c r="A428" s="1">
        <v>42064</v>
      </c>
      <c r="B428">
        <v>256702</v>
      </c>
      <c r="C428">
        <v>276569</v>
      </c>
      <c r="D428">
        <v>6803</v>
      </c>
      <c r="E428">
        <v>2015</v>
      </c>
      <c r="F428">
        <v>3</v>
      </c>
      <c r="G428" t="s">
        <v>25</v>
      </c>
      <c r="H428">
        <v>1</v>
      </c>
      <c r="I428">
        <v>1</v>
      </c>
      <c r="J428" t="s">
        <v>23</v>
      </c>
      <c r="K428">
        <v>38</v>
      </c>
      <c r="L428">
        <v>-19868</v>
      </c>
      <c r="M428">
        <v>-3</v>
      </c>
      <c r="N428">
        <v>-8</v>
      </c>
      <c r="O428">
        <v>-8</v>
      </c>
    </row>
    <row r="429" spans="1:15" x14ac:dyDescent="0.3">
      <c r="A429" s="1">
        <v>42065</v>
      </c>
      <c r="B429">
        <v>234706</v>
      </c>
      <c r="C429">
        <v>252710</v>
      </c>
      <c r="D429">
        <v>6221</v>
      </c>
      <c r="E429">
        <v>2015</v>
      </c>
      <c r="F429">
        <v>3</v>
      </c>
      <c r="G429" t="s">
        <v>25</v>
      </c>
      <c r="H429">
        <v>1</v>
      </c>
      <c r="I429">
        <v>2</v>
      </c>
      <c r="J429" t="s">
        <v>16</v>
      </c>
      <c r="K429">
        <v>38</v>
      </c>
      <c r="L429">
        <v>-18004</v>
      </c>
      <c r="M429">
        <v>-3</v>
      </c>
      <c r="N429">
        <v>-8</v>
      </c>
      <c r="O429">
        <v>-8</v>
      </c>
    </row>
    <row r="430" spans="1:15" x14ac:dyDescent="0.3">
      <c r="A430" s="1">
        <v>42066</v>
      </c>
      <c r="B430">
        <v>249381</v>
      </c>
      <c r="C430">
        <v>268762</v>
      </c>
      <c r="D430">
        <v>6611</v>
      </c>
      <c r="E430">
        <v>2015</v>
      </c>
      <c r="F430">
        <v>3</v>
      </c>
      <c r="G430" t="s">
        <v>25</v>
      </c>
      <c r="H430">
        <v>1</v>
      </c>
      <c r="I430">
        <v>3</v>
      </c>
      <c r="J430" t="s">
        <v>17</v>
      </c>
      <c r="K430">
        <v>38</v>
      </c>
      <c r="L430">
        <v>-19381</v>
      </c>
      <c r="M430">
        <v>-3</v>
      </c>
      <c r="N430">
        <v>-8</v>
      </c>
      <c r="O430">
        <v>-8</v>
      </c>
    </row>
    <row r="431" spans="1:15" x14ac:dyDescent="0.3">
      <c r="A431" s="1">
        <v>42067</v>
      </c>
      <c r="B431">
        <v>258211</v>
      </c>
      <c r="C431">
        <v>278826</v>
      </c>
      <c r="D431">
        <v>6843</v>
      </c>
      <c r="E431">
        <v>2015</v>
      </c>
      <c r="F431">
        <v>3</v>
      </c>
      <c r="G431" t="s">
        <v>25</v>
      </c>
      <c r="H431">
        <v>1</v>
      </c>
      <c r="I431">
        <v>4</v>
      </c>
      <c r="J431" t="s">
        <v>19</v>
      </c>
      <c r="K431">
        <v>38</v>
      </c>
      <c r="L431">
        <v>-20614</v>
      </c>
      <c r="M431">
        <v>-3</v>
      </c>
      <c r="N431">
        <v>-8</v>
      </c>
      <c r="O431">
        <v>-8</v>
      </c>
    </row>
    <row r="432" spans="1:15" x14ac:dyDescent="0.3">
      <c r="A432" s="1">
        <v>42068</v>
      </c>
      <c r="B432">
        <v>145976</v>
      </c>
      <c r="C432">
        <v>157578</v>
      </c>
      <c r="D432">
        <v>3858</v>
      </c>
      <c r="E432">
        <v>2015</v>
      </c>
      <c r="F432">
        <v>3</v>
      </c>
      <c r="G432" t="s">
        <v>25</v>
      </c>
      <c r="H432">
        <v>1</v>
      </c>
      <c r="I432">
        <v>5</v>
      </c>
      <c r="J432" t="s">
        <v>20</v>
      </c>
      <c r="K432">
        <v>38</v>
      </c>
      <c r="L432">
        <v>-11602</v>
      </c>
      <c r="M432">
        <v>-3</v>
      </c>
      <c r="N432">
        <v>-8</v>
      </c>
      <c r="O432">
        <v>-8</v>
      </c>
    </row>
    <row r="433" spans="1:15" x14ac:dyDescent="0.3">
      <c r="A433" s="1">
        <v>42069</v>
      </c>
      <c r="B433">
        <v>269240</v>
      </c>
      <c r="C433">
        <v>291365</v>
      </c>
      <c r="D433">
        <v>7128</v>
      </c>
      <c r="E433">
        <v>2015</v>
      </c>
      <c r="F433">
        <v>3</v>
      </c>
      <c r="G433" t="s">
        <v>25</v>
      </c>
      <c r="H433">
        <v>1</v>
      </c>
      <c r="I433">
        <v>6</v>
      </c>
      <c r="J433" t="s">
        <v>21</v>
      </c>
      <c r="K433">
        <v>38</v>
      </c>
      <c r="L433">
        <v>-22125</v>
      </c>
      <c r="M433">
        <v>-3</v>
      </c>
      <c r="N433">
        <v>-8</v>
      </c>
      <c r="O433">
        <v>-8</v>
      </c>
    </row>
    <row r="434" spans="1:15" x14ac:dyDescent="0.3">
      <c r="A434" s="1">
        <v>42070</v>
      </c>
      <c r="B434">
        <v>306920</v>
      </c>
      <c r="C434">
        <v>332242</v>
      </c>
      <c r="D434">
        <v>8127</v>
      </c>
      <c r="E434">
        <v>2015</v>
      </c>
      <c r="F434">
        <v>3</v>
      </c>
      <c r="G434" t="s">
        <v>25</v>
      </c>
      <c r="H434">
        <v>1</v>
      </c>
      <c r="I434">
        <v>7</v>
      </c>
      <c r="J434" t="s">
        <v>22</v>
      </c>
      <c r="K434">
        <v>38</v>
      </c>
      <c r="L434">
        <v>-25322</v>
      </c>
      <c r="M434">
        <v>-3</v>
      </c>
      <c r="N434">
        <v>-8</v>
      </c>
      <c r="O434">
        <v>-8</v>
      </c>
    </row>
    <row r="435" spans="1:15" x14ac:dyDescent="0.3">
      <c r="A435" s="1">
        <v>42071</v>
      </c>
      <c r="B435">
        <v>122107</v>
      </c>
      <c r="C435">
        <v>121395</v>
      </c>
      <c r="D435">
        <v>2966</v>
      </c>
      <c r="E435">
        <v>2015</v>
      </c>
      <c r="F435">
        <v>3</v>
      </c>
      <c r="G435" t="s">
        <v>25</v>
      </c>
      <c r="H435">
        <v>1</v>
      </c>
      <c r="I435">
        <v>8</v>
      </c>
      <c r="J435" t="s">
        <v>23</v>
      </c>
      <c r="K435">
        <v>41</v>
      </c>
      <c r="L435">
        <v>712</v>
      </c>
      <c r="M435">
        <v>0</v>
      </c>
      <c r="N435">
        <v>1</v>
      </c>
      <c r="O435">
        <v>1</v>
      </c>
    </row>
    <row r="436" spans="1:15" x14ac:dyDescent="0.3">
      <c r="A436" s="1">
        <v>42072</v>
      </c>
      <c r="B436">
        <v>117661</v>
      </c>
      <c r="C436">
        <v>116861</v>
      </c>
      <c r="D436">
        <v>2858</v>
      </c>
      <c r="E436">
        <v>2015</v>
      </c>
      <c r="F436">
        <v>3</v>
      </c>
      <c r="G436" t="s">
        <v>25</v>
      </c>
      <c r="H436">
        <v>1</v>
      </c>
      <c r="I436">
        <v>9</v>
      </c>
      <c r="J436" t="s">
        <v>16</v>
      </c>
      <c r="K436">
        <v>41</v>
      </c>
      <c r="L436">
        <v>800</v>
      </c>
      <c r="M436">
        <v>0</v>
      </c>
      <c r="N436">
        <v>1</v>
      </c>
      <c r="O436">
        <v>1</v>
      </c>
    </row>
    <row r="437" spans="1:15" x14ac:dyDescent="0.3">
      <c r="A437" s="1">
        <v>42073</v>
      </c>
      <c r="B437">
        <v>62500</v>
      </c>
      <c r="C437">
        <v>62074</v>
      </c>
      <c r="D437">
        <v>1518</v>
      </c>
      <c r="E437">
        <v>2015</v>
      </c>
      <c r="F437">
        <v>3</v>
      </c>
      <c r="G437" t="s">
        <v>25</v>
      </c>
      <c r="H437">
        <v>1</v>
      </c>
      <c r="I437">
        <v>10</v>
      </c>
      <c r="J437" t="s">
        <v>17</v>
      </c>
      <c r="K437">
        <v>41</v>
      </c>
      <c r="L437">
        <v>426</v>
      </c>
      <c r="M437">
        <v>0</v>
      </c>
      <c r="N437">
        <v>1</v>
      </c>
      <c r="O437">
        <v>1</v>
      </c>
    </row>
    <row r="438" spans="1:15" x14ac:dyDescent="0.3">
      <c r="A438" s="1">
        <v>42074</v>
      </c>
      <c r="B438">
        <v>57064</v>
      </c>
      <c r="C438">
        <v>56638</v>
      </c>
      <c r="D438">
        <v>1386</v>
      </c>
      <c r="E438">
        <v>2015</v>
      </c>
      <c r="F438">
        <v>3</v>
      </c>
      <c r="G438" t="s">
        <v>25</v>
      </c>
      <c r="H438">
        <v>1</v>
      </c>
      <c r="I438">
        <v>11</v>
      </c>
      <c r="J438" t="s">
        <v>19</v>
      </c>
      <c r="K438">
        <v>41</v>
      </c>
      <c r="L438">
        <v>426</v>
      </c>
      <c r="M438">
        <v>0</v>
      </c>
      <c r="N438">
        <v>1</v>
      </c>
      <c r="O438">
        <v>1</v>
      </c>
    </row>
    <row r="439" spans="1:15" x14ac:dyDescent="0.3">
      <c r="A439" s="1">
        <v>42075</v>
      </c>
      <c r="B439">
        <v>48008</v>
      </c>
      <c r="C439">
        <v>47682</v>
      </c>
      <c r="D439">
        <v>1166</v>
      </c>
      <c r="E439">
        <v>2015</v>
      </c>
      <c r="F439">
        <v>3</v>
      </c>
      <c r="G439" t="s">
        <v>25</v>
      </c>
      <c r="H439">
        <v>1</v>
      </c>
      <c r="I439">
        <v>12</v>
      </c>
      <c r="J439" t="s">
        <v>20</v>
      </c>
      <c r="K439">
        <v>41</v>
      </c>
      <c r="L439">
        <v>327</v>
      </c>
      <c r="M439">
        <v>0</v>
      </c>
      <c r="N439">
        <v>1</v>
      </c>
      <c r="O439">
        <v>1</v>
      </c>
    </row>
    <row r="440" spans="1:15" x14ac:dyDescent="0.3">
      <c r="A440" s="1">
        <v>42076</v>
      </c>
      <c r="B440">
        <v>117447</v>
      </c>
      <c r="C440">
        <v>116681</v>
      </c>
      <c r="D440">
        <v>2853</v>
      </c>
      <c r="E440">
        <v>2015</v>
      </c>
      <c r="F440">
        <v>3</v>
      </c>
      <c r="G440" t="s">
        <v>25</v>
      </c>
      <c r="H440">
        <v>1</v>
      </c>
      <c r="I440">
        <v>13</v>
      </c>
      <c r="J440" t="s">
        <v>21</v>
      </c>
      <c r="K440">
        <v>41</v>
      </c>
      <c r="L440">
        <v>766</v>
      </c>
      <c r="M440">
        <v>0</v>
      </c>
      <c r="N440">
        <v>1</v>
      </c>
      <c r="O440">
        <v>1</v>
      </c>
    </row>
    <row r="441" spans="1:15" x14ac:dyDescent="0.3">
      <c r="A441" s="1">
        <v>42077</v>
      </c>
      <c r="B441">
        <v>150592</v>
      </c>
      <c r="C441">
        <v>149574</v>
      </c>
      <c r="D441">
        <v>3657</v>
      </c>
      <c r="E441">
        <v>2015</v>
      </c>
      <c r="F441">
        <v>3</v>
      </c>
      <c r="G441" t="s">
        <v>25</v>
      </c>
      <c r="H441">
        <v>1</v>
      </c>
      <c r="I441">
        <v>14</v>
      </c>
      <c r="J441" t="s">
        <v>22</v>
      </c>
      <c r="K441">
        <v>41</v>
      </c>
      <c r="L441">
        <v>1018</v>
      </c>
      <c r="M441">
        <v>0</v>
      </c>
      <c r="N441">
        <v>1</v>
      </c>
      <c r="O441">
        <v>1</v>
      </c>
    </row>
    <row r="442" spans="1:15" x14ac:dyDescent="0.3">
      <c r="A442" s="1">
        <v>42078</v>
      </c>
      <c r="B442">
        <v>67152</v>
      </c>
      <c r="C442">
        <v>66803</v>
      </c>
      <c r="D442">
        <v>1631</v>
      </c>
      <c r="E442">
        <v>2015</v>
      </c>
      <c r="F442">
        <v>3</v>
      </c>
      <c r="G442" t="s">
        <v>25</v>
      </c>
      <c r="H442">
        <v>1</v>
      </c>
      <c r="I442">
        <v>15</v>
      </c>
      <c r="J442" t="s">
        <v>23</v>
      </c>
      <c r="K442">
        <v>41</v>
      </c>
      <c r="L442">
        <v>349</v>
      </c>
      <c r="M442">
        <v>0</v>
      </c>
      <c r="N442">
        <v>1</v>
      </c>
      <c r="O442">
        <v>1</v>
      </c>
    </row>
    <row r="443" spans="1:15" x14ac:dyDescent="0.3">
      <c r="A443" s="1">
        <v>42079</v>
      </c>
      <c r="B443">
        <v>80635</v>
      </c>
      <c r="C443">
        <v>80121</v>
      </c>
      <c r="D443">
        <v>1959</v>
      </c>
      <c r="E443">
        <v>2015</v>
      </c>
      <c r="F443">
        <v>3</v>
      </c>
      <c r="G443" t="s">
        <v>25</v>
      </c>
      <c r="H443">
        <v>1</v>
      </c>
      <c r="I443">
        <v>16</v>
      </c>
      <c r="J443" t="s">
        <v>16</v>
      </c>
      <c r="K443">
        <v>41</v>
      </c>
      <c r="L443">
        <v>514</v>
      </c>
      <c r="M443">
        <v>0</v>
      </c>
      <c r="N443">
        <v>1</v>
      </c>
      <c r="O443">
        <v>1</v>
      </c>
    </row>
    <row r="444" spans="1:15" x14ac:dyDescent="0.3">
      <c r="A444" s="1">
        <v>42080</v>
      </c>
      <c r="B444">
        <v>50670</v>
      </c>
      <c r="C444">
        <v>50309</v>
      </c>
      <c r="D444">
        <v>1230</v>
      </c>
      <c r="E444">
        <v>2015</v>
      </c>
      <c r="F444">
        <v>3</v>
      </c>
      <c r="G444" t="s">
        <v>25</v>
      </c>
      <c r="H444">
        <v>1</v>
      </c>
      <c r="I444">
        <v>17</v>
      </c>
      <c r="J444" t="s">
        <v>17</v>
      </c>
      <c r="K444">
        <v>41</v>
      </c>
      <c r="L444">
        <v>361</v>
      </c>
      <c r="M444">
        <v>0</v>
      </c>
      <c r="N444">
        <v>1</v>
      </c>
      <c r="O444">
        <v>1</v>
      </c>
    </row>
    <row r="445" spans="1:15" x14ac:dyDescent="0.3">
      <c r="A445" s="1">
        <v>42081</v>
      </c>
      <c r="B445">
        <v>48649</v>
      </c>
      <c r="C445">
        <v>48362</v>
      </c>
      <c r="D445">
        <v>1182</v>
      </c>
      <c r="E445">
        <v>2015</v>
      </c>
      <c r="F445">
        <v>3</v>
      </c>
      <c r="G445" t="s">
        <v>25</v>
      </c>
      <c r="H445">
        <v>1</v>
      </c>
      <c r="I445">
        <v>18</v>
      </c>
      <c r="J445" t="s">
        <v>19</v>
      </c>
      <c r="K445">
        <v>41</v>
      </c>
      <c r="L445">
        <v>287</v>
      </c>
      <c r="M445">
        <v>0</v>
      </c>
      <c r="N445">
        <v>1</v>
      </c>
      <c r="O445">
        <v>1</v>
      </c>
    </row>
    <row r="446" spans="1:15" x14ac:dyDescent="0.3">
      <c r="A446" s="1">
        <v>42082</v>
      </c>
      <c r="B446">
        <v>43213</v>
      </c>
      <c r="C446">
        <v>42981</v>
      </c>
      <c r="D446">
        <v>1050</v>
      </c>
      <c r="E446">
        <v>2015</v>
      </c>
      <c r="F446">
        <v>3</v>
      </c>
      <c r="G446" t="s">
        <v>25</v>
      </c>
      <c r="H446">
        <v>1</v>
      </c>
      <c r="I446">
        <v>19</v>
      </c>
      <c r="J446" t="s">
        <v>20</v>
      </c>
      <c r="K446">
        <v>41</v>
      </c>
      <c r="L446">
        <v>232</v>
      </c>
      <c r="M446">
        <v>0</v>
      </c>
      <c r="N446">
        <v>1</v>
      </c>
      <c r="O446">
        <v>1</v>
      </c>
    </row>
    <row r="447" spans="1:15" x14ac:dyDescent="0.3">
      <c r="A447" s="1">
        <v>42083</v>
      </c>
      <c r="B447">
        <v>96881</v>
      </c>
      <c r="C447">
        <v>96453</v>
      </c>
      <c r="D447">
        <v>2353</v>
      </c>
      <c r="E447">
        <v>2015</v>
      </c>
      <c r="F447">
        <v>3</v>
      </c>
      <c r="G447" t="s">
        <v>25</v>
      </c>
      <c r="H447">
        <v>1</v>
      </c>
      <c r="I447">
        <v>20</v>
      </c>
      <c r="J447" t="s">
        <v>21</v>
      </c>
      <c r="K447">
        <v>41</v>
      </c>
      <c r="L447">
        <v>428</v>
      </c>
      <c r="M447">
        <v>0</v>
      </c>
      <c r="N447">
        <v>0</v>
      </c>
      <c r="O447">
        <v>0</v>
      </c>
    </row>
    <row r="448" spans="1:15" x14ac:dyDescent="0.3">
      <c r="A448" s="1">
        <v>42084</v>
      </c>
      <c r="B448">
        <v>121361</v>
      </c>
      <c r="C448">
        <v>120829</v>
      </c>
      <c r="D448">
        <v>2947</v>
      </c>
      <c r="E448">
        <v>2015</v>
      </c>
      <c r="F448">
        <v>3</v>
      </c>
      <c r="G448" t="s">
        <v>25</v>
      </c>
      <c r="H448">
        <v>1</v>
      </c>
      <c r="I448">
        <v>21</v>
      </c>
      <c r="J448" t="s">
        <v>22</v>
      </c>
      <c r="K448">
        <v>41</v>
      </c>
      <c r="L448">
        <v>532</v>
      </c>
      <c r="M448">
        <v>0</v>
      </c>
      <c r="N448">
        <v>0</v>
      </c>
      <c r="O448">
        <v>0</v>
      </c>
    </row>
    <row r="449" spans="1:15" x14ac:dyDescent="0.3">
      <c r="A449" s="1">
        <v>42085</v>
      </c>
      <c r="B449">
        <v>66954</v>
      </c>
      <c r="C449">
        <v>66756</v>
      </c>
      <c r="D449">
        <v>1626</v>
      </c>
      <c r="E449">
        <v>2015</v>
      </c>
      <c r="F449">
        <v>3</v>
      </c>
      <c r="G449" t="s">
        <v>25</v>
      </c>
      <c r="H449">
        <v>1</v>
      </c>
      <c r="I449">
        <v>22</v>
      </c>
      <c r="J449" t="s">
        <v>23</v>
      </c>
      <c r="K449">
        <v>41</v>
      </c>
      <c r="L449">
        <v>198</v>
      </c>
      <c r="M449">
        <v>0</v>
      </c>
      <c r="N449">
        <v>0</v>
      </c>
      <c r="O449">
        <v>0</v>
      </c>
    </row>
    <row r="450" spans="1:15" x14ac:dyDescent="0.3">
      <c r="A450" s="1">
        <v>42086</v>
      </c>
      <c r="B450">
        <v>81342</v>
      </c>
      <c r="C450">
        <v>81132</v>
      </c>
      <c r="D450">
        <v>1976</v>
      </c>
      <c r="E450">
        <v>2015</v>
      </c>
      <c r="F450">
        <v>3</v>
      </c>
      <c r="G450" t="s">
        <v>25</v>
      </c>
      <c r="H450">
        <v>1</v>
      </c>
      <c r="I450">
        <v>23</v>
      </c>
      <c r="J450" t="s">
        <v>16</v>
      </c>
      <c r="K450">
        <v>41</v>
      </c>
      <c r="L450">
        <v>210</v>
      </c>
      <c r="M450">
        <v>0</v>
      </c>
      <c r="N450">
        <v>0</v>
      </c>
      <c r="O450">
        <v>0</v>
      </c>
    </row>
    <row r="451" spans="1:15" x14ac:dyDescent="0.3">
      <c r="A451" s="1">
        <v>42087</v>
      </c>
      <c r="B451">
        <v>125061</v>
      </c>
      <c r="C451">
        <v>136375</v>
      </c>
      <c r="D451">
        <v>3312</v>
      </c>
      <c r="E451">
        <v>2015</v>
      </c>
      <c r="F451">
        <v>3</v>
      </c>
      <c r="G451" t="s">
        <v>25</v>
      </c>
      <c r="H451">
        <v>1</v>
      </c>
      <c r="I451">
        <v>24</v>
      </c>
      <c r="J451" t="s">
        <v>17</v>
      </c>
      <c r="K451">
        <v>38</v>
      </c>
      <c r="L451">
        <v>-11314</v>
      </c>
      <c r="M451">
        <v>-3</v>
      </c>
      <c r="N451">
        <v>-9</v>
      </c>
      <c r="O451">
        <v>-9</v>
      </c>
    </row>
    <row r="452" spans="1:15" x14ac:dyDescent="0.3">
      <c r="A452" s="1">
        <v>42088</v>
      </c>
      <c r="B452">
        <v>253219</v>
      </c>
      <c r="C452">
        <v>276195</v>
      </c>
      <c r="D452">
        <v>6704</v>
      </c>
      <c r="E452">
        <v>2015</v>
      </c>
      <c r="F452">
        <v>3</v>
      </c>
      <c r="G452" t="s">
        <v>25</v>
      </c>
      <c r="H452">
        <v>1</v>
      </c>
      <c r="I452">
        <v>25</v>
      </c>
      <c r="J452" t="s">
        <v>19</v>
      </c>
      <c r="K452">
        <v>38</v>
      </c>
      <c r="L452">
        <v>-22976</v>
      </c>
      <c r="M452">
        <v>-3</v>
      </c>
      <c r="N452">
        <v>-9</v>
      </c>
      <c r="O452">
        <v>-9</v>
      </c>
    </row>
    <row r="453" spans="1:15" x14ac:dyDescent="0.3">
      <c r="A453" s="1">
        <v>42089</v>
      </c>
      <c r="B453">
        <v>229184</v>
      </c>
      <c r="C453">
        <v>250361</v>
      </c>
      <c r="D453">
        <v>6077</v>
      </c>
      <c r="E453">
        <v>2015</v>
      </c>
      <c r="F453">
        <v>3</v>
      </c>
      <c r="G453" t="s">
        <v>25</v>
      </c>
      <c r="H453">
        <v>1</v>
      </c>
      <c r="I453">
        <v>26</v>
      </c>
      <c r="J453" t="s">
        <v>20</v>
      </c>
      <c r="K453">
        <v>38</v>
      </c>
      <c r="L453">
        <v>-21177</v>
      </c>
      <c r="M453">
        <v>-3</v>
      </c>
      <c r="N453">
        <v>-9</v>
      </c>
      <c r="O453">
        <v>-9</v>
      </c>
    </row>
    <row r="454" spans="1:15" x14ac:dyDescent="0.3">
      <c r="A454" s="1">
        <v>42090</v>
      </c>
      <c r="B454">
        <v>354191</v>
      </c>
      <c r="C454">
        <v>386465</v>
      </c>
      <c r="D454">
        <v>9386</v>
      </c>
      <c r="E454">
        <v>2015</v>
      </c>
      <c r="F454">
        <v>3</v>
      </c>
      <c r="G454" t="s">
        <v>25</v>
      </c>
      <c r="H454">
        <v>1</v>
      </c>
      <c r="I454">
        <v>27</v>
      </c>
      <c r="J454" t="s">
        <v>21</v>
      </c>
      <c r="K454">
        <v>38</v>
      </c>
      <c r="L454">
        <v>-32273</v>
      </c>
      <c r="M454">
        <v>-3</v>
      </c>
      <c r="N454">
        <v>-9</v>
      </c>
      <c r="O454">
        <v>-9</v>
      </c>
    </row>
    <row r="455" spans="1:15" x14ac:dyDescent="0.3">
      <c r="A455" s="1">
        <v>42091</v>
      </c>
      <c r="B455">
        <v>459485</v>
      </c>
      <c r="C455">
        <v>501363</v>
      </c>
      <c r="D455">
        <v>12181</v>
      </c>
      <c r="E455">
        <v>2015</v>
      </c>
      <c r="F455">
        <v>3</v>
      </c>
      <c r="G455" t="s">
        <v>25</v>
      </c>
      <c r="H455">
        <v>1</v>
      </c>
      <c r="I455">
        <v>28</v>
      </c>
      <c r="J455" t="s">
        <v>22</v>
      </c>
      <c r="K455">
        <v>38</v>
      </c>
      <c r="L455">
        <v>-41878</v>
      </c>
      <c r="M455">
        <v>-3</v>
      </c>
      <c r="N455">
        <v>-9</v>
      </c>
      <c r="O455">
        <v>-9</v>
      </c>
    </row>
    <row r="456" spans="1:15" x14ac:dyDescent="0.3">
      <c r="A456" s="1">
        <v>42092</v>
      </c>
      <c r="B456">
        <v>224103</v>
      </c>
      <c r="C456">
        <v>244360</v>
      </c>
      <c r="D456">
        <v>5937</v>
      </c>
      <c r="E456">
        <v>2015</v>
      </c>
      <c r="F456">
        <v>3</v>
      </c>
      <c r="G456" t="s">
        <v>25</v>
      </c>
      <c r="H456">
        <v>1</v>
      </c>
      <c r="I456">
        <v>29</v>
      </c>
      <c r="J456" t="s">
        <v>23</v>
      </c>
      <c r="K456">
        <v>38</v>
      </c>
      <c r="L456">
        <v>-20257</v>
      </c>
      <c r="M456">
        <v>-3</v>
      </c>
      <c r="N456">
        <v>-9</v>
      </c>
      <c r="O456">
        <v>-9</v>
      </c>
    </row>
    <row r="457" spans="1:15" x14ac:dyDescent="0.3">
      <c r="A457" s="1">
        <v>42093</v>
      </c>
      <c r="B457">
        <v>215204</v>
      </c>
      <c r="C457">
        <v>234819</v>
      </c>
      <c r="D457">
        <v>5706</v>
      </c>
      <c r="E457">
        <v>2015</v>
      </c>
      <c r="F457">
        <v>3</v>
      </c>
      <c r="G457" t="s">
        <v>25</v>
      </c>
      <c r="H457">
        <v>1</v>
      </c>
      <c r="I457">
        <v>30</v>
      </c>
      <c r="J457" t="s">
        <v>16</v>
      </c>
      <c r="K457">
        <v>38</v>
      </c>
      <c r="L457">
        <v>-19616</v>
      </c>
      <c r="M457">
        <v>-3</v>
      </c>
      <c r="N457">
        <v>-9</v>
      </c>
      <c r="O457">
        <v>-9</v>
      </c>
    </row>
    <row r="458" spans="1:15" x14ac:dyDescent="0.3">
      <c r="A458" s="1">
        <v>42094</v>
      </c>
      <c r="B458">
        <v>355535</v>
      </c>
      <c r="C458">
        <v>386989</v>
      </c>
      <c r="D458">
        <v>9421</v>
      </c>
      <c r="E458">
        <v>2015</v>
      </c>
      <c r="F458">
        <v>3</v>
      </c>
      <c r="G458" t="s">
        <v>25</v>
      </c>
      <c r="H458">
        <v>1</v>
      </c>
      <c r="I458">
        <v>31</v>
      </c>
      <c r="J458" t="s">
        <v>17</v>
      </c>
      <c r="K458">
        <v>38</v>
      </c>
      <c r="L458">
        <v>-31454</v>
      </c>
      <c r="M458">
        <v>-3</v>
      </c>
      <c r="N458">
        <v>-9</v>
      </c>
      <c r="O458">
        <v>-9</v>
      </c>
    </row>
    <row r="459" spans="1:15" x14ac:dyDescent="0.3">
      <c r="A459" s="1">
        <v>42095</v>
      </c>
      <c r="B459">
        <v>498894</v>
      </c>
      <c r="C459">
        <v>542484</v>
      </c>
      <c r="D459">
        <v>13207</v>
      </c>
      <c r="E459">
        <v>2015</v>
      </c>
      <c r="F459">
        <v>4</v>
      </c>
      <c r="G459" t="s">
        <v>26</v>
      </c>
      <c r="H459">
        <v>2</v>
      </c>
      <c r="I459">
        <v>1</v>
      </c>
      <c r="J459" t="s">
        <v>19</v>
      </c>
      <c r="K459">
        <v>38</v>
      </c>
      <c r="L459">
        <v>-43589</v>
      </c>
      <c r="M459">
        <v>-3</v>
      </c>
      <c r="N459">
        <v>-9</v>
      </c>
      <c r="O459">
        <v>-9</v>
      </c>
    </row>
    <row r="460" spans="1:15" x14ac:dyDescent="0.3">
      <c r="A460" s="1">
        <v>42096</v>
      </c>
      <c r="B460">
        <v>715032</v>
      </c>
      <c r="C460">
        <v>777522</v>
      </c>
      <c r="D460">
        <v>18936</v>
      </c>
      <c r="E460">
        <v>2015</v>
      </c>
      <c r="F460">
        <v>4</v>
      </c>
      <c r="G460" t="s">
        <v>26</v>
      </c>
      <c r="H460">
        <v>2</v>
      </c>
      <c r="I460">
        <v>2</v>
      </c>
      <c r="J460" t="s">
        <v>20</v>
      </c>
      <c r="K460">
        <v>38</v>
      </c>
      <c r="L460">
        <v>-62490</v>
      </c>
      <c r="M460">
        <v>-3</v>
      </c>
      <c r="N460">
        <v>-9</v>
      </c>
      <c r="O460">
        <v>-9</v>
      </c>
    </row>
    <row r="461" spans="1:15" x14ac:dyDescent="0.3">
      <c r="A461" s="1">
        <v>42097</v>
      </c>
      <c r="B461">
        <v>510289</v>
      </c>
      <c r="C461">
        <v>554160</v>
      </c>
      <c r="D461">
        <v>13503</v>
      </c>
      <c r="E461">
        <v>2015</v>
      </c>
      <c r="F461">
        <v>4</v>
      </c>
      <c r="G461" t="s">
        <v>26</v>
      </c>
      <c r="H461">
        <v>2</v>
      </c>
      <c r="I461">
        <v>3</v>
      </c>
      <c r="J461" t="s">
        <v>21</v>
      </c>
      <c r="K461">
        <v>38</v>
      </c>
      <c r="L461">
        <v>-43871</v>
      </c>
      <c r="M461">
        <v>-3</v>
      </c>
      <c r="N461">
        <v>-9</v>
      </c>
      <c r="O461">
        <v>-9</v>
      </c>
    </row>
    <row r="462" spans="1:15" x14ac:dyDescent="0.3">
      <c r="A462" s="1">
        <v>42098</v>
      </c>
      <c r="B462">
        <v>400302</v>
      </c>
      <c r="C462">
        <v>434873</v>
      </c>
      <c r="D462">
        <v>10600</v>
      </c>
      <c r="E462">
        <v>2015</v>
      </c>
      <c r="F462">
        <v>4</v>
      </c>
      <c r="G462" t="s">
        <v>26</v>
      </c>
      <c r="H462">
        <v>2</v>
      </c>
      <c r="I462">
        <v>4</v>
      </c>
      <c r="J462" t="s">
        <v>22</v>
      </c>
      <c r="K462">
        <v>38</v>
      </c>
      <c r="L462">
        <v>-34571</v>
      </c>
      <c r="M462">
        <v>-3</v>
      </c>
      <c r="N462">
        <v>-9</v>
      </c>
      <c r="O462">
        <v>-9</v>
      </c>
    </row>
    <row r="463" spans="1:15" x14ac:dyDescent="0.3">
      <c r="A463" s="1">
        <v>42099</v>
      </c>
      <c r="B463">
        <v>135578</v>
      </c>
      <c r="C463">
        <v>147336</v>
      </c>
      <c r="D463">
        <v>3591</v>
      </c>
      <c r="E463">
        <v>2015</v>
      </c>
      <c r="F463">
        <v>4</v>
      </c>
      <c r="G463" t="s">
        <v>26</v>
      </c>
      <c r="H463">
        <v>2</v>
      </c>
      <c r="I463">
        <v>5</v>
      </c>
      <c r="J463" t="s">
        <v>23</v>
      </c>
      <c r="K463">
        <v>38</v>
      </c>
      <c r="L463">
        <v>-11758</v>
      </c>
      <c r="M463">
        <v>-3</v>
      </c>
      <c r="N463">
        <v>-9</v>
      </c>
      <c r="O463">
        <v>-9</v>
      </c>
    </row>
    <row r="464" spans="1:15" x14ac:dyDescent="0.3">
      <c r="A464" s="1">
        <v>42100</v>
      </c>
      <c r="B464">
        <v>182466</v>
      </c>
      <c r="C464">
        <v>198405</v>
      </c>
      <c r="D464">
        <v>4836</v>
      </c>
      <c r="E464">
        <v>2015</v>
      </c>
      <c r="F464">
        <v>4</v>
      </c>
      <c r="G464" t="s">
        <v>26</v>
      </c>
      <c r="H464">
        <v>2</v>
      </c>
      <c r="I464">
        <v>6</v>
      </c>
      <c r="J464" t="s">
        <v>16</v>
      </c>
      <c r="K464">
        <v>38</v>
      </c>
      <c r="L464">
        <v>-15939</v>
      </c>
      <c r="M464">
        <v>-3</v>
      </c>
      <c r="N464">
        <v>-9</v>
      </c>
      <c r="O464">
        <v>-9</v>
      </c>
    </row>
    <row r="465" spans="1:15" x14ac:dyDescent="0.3">
      <c r="A465" s="1">
        <v>42101</v>
      </c>
      <c r="B465">
        <v>176814</v>
      </c>
      <c r="C465">
        <v>178390</v>
      </c>
      <c r="D465">
        <v>4348</v>
      </c>
      <c r="E465">
        <v>2015</v>
      </c>
      <c r="F465">
        <v>4</v>
      </c>
      <c r="G465" t="s">
        <v>26</v>
      </c>
      <c r="H465">
        <v>2</v>
      </c>
      <c r="I465">
        <v>7</v>
      </c>
      <c r="J465" t="s">
        <v>17</v>
      </c>
      <c r="K465">
        <v>41</v>
      </c>
      <c r="L465">
        <v>-1576</v>
      </c>
      <c r="M465">
        <v>0</v>
      </c>
      <c r="N465">
        <v>-1</v>
      </c>
      <c r="O465">
        <v>-1</v>
      </c>
    </row>
    <row r="466" spans="1:15" x14ac:dyDescent="0.3">
      <c r="A466" s="1">
        <v>42102</v>
      </c>
      <c r="B466">
        <v>100918</v>
      </c>
      <c r="C466">
        <v>100579</v>
      </c>
      <c r="D466">
        <v>2451</v>
      </c>
      <c r="E466">
        <v>2015</v>
      </c>
      <c r="F466">
        <v>4</v>
      </c>
      <c r="G466" t="s">
        <v>26</v>
      </c>
      <c r="H466">
        <v>2</v>
      </c>
      <c r="I466">
        <v>8</v>
      </c>
      <c r="J466" t="s">
        <v>19</v>
      </c>
      <c r="K466">
        <v>41</v>
      </c>
      <c r="L466">
        <v>339</v>
      </c>
      <c r="M466">
        <v>0</v>
      </c>
      <c r="N466">
        <v>0</v>
      </c>
      <c r="O466">
        <v>0</v>
      </c>
    </row>
    <row r="467" spans="1:15" x14ac:dyDescent="0.3">
      <c r="A467" s="1">
        <v>42103</v>
      </c>
      <c r="B467">
        <v>74691</v>
      </c>
      <c r="C467">
        <v>74428</v>
      </c>
      <c r="D467">
        <v>1814</v>
      </c>
      <c r="E467">
        <v>2015</v>
      </c>
      <c r="F467">
        <v>4</v>
      </c>
      <c r="G467" t="s">
        <v>26</v>
      </c>
      <c r="H467">
        <v>2</v>
      </c>
      <c r="I467">
        <v>9</v>
      </c>
      <c r="J467" t="s">
        <v>20</v>
      </c>
      <c r="K467">
        <v>41</v>
      </c>
      <c r="L467">
        <v>263</v>
      </c>
      <c r="M467">
        <v>0</v>
      </c>
      <c r="N467">
        <v>0</v>
      </c>
      <c r="O467">
        <v>0</v>
      </c>
    </row>
    <row r="468" spans="1:15" x14ac:dyDescent="0.3">
      <c r="A468" s="1">
        <v>42104</v>
      </c>
      <c r="B468">
        <v>114067</v>
      </c>
      <c r="C468">
        <v>113654</v>
      </c>
      <c r="D468">
        <v>2770</v>
      </c>
      <c r="E468">
        <v>2015</v>
      </c>
      <c r="F468">
        <v>4</v>
      </c>
      <c r="G468" t="s">
        <v>26</v>
      </c>
      <c r="H468">
        <v>2</v>
      </c>
      <c r="I468">
        <v>10</v>
      </c>
      <c r="J468" t="s">
        <v>21</v>
      </c>
      <c r="K468">
        <v>41</v>
      </c>
      <c r="L468">
        <v>413</v>
      </c>
      <c r="M468">
        <v>0</v>
      </c>
      <c r="N468">
        <v>0</v>
      </c>
      <c r="O468">
        <v>0</v>
      </c>
    </row>
    <row r="469" spans="1:15" x14ac:dyDescent="0.3">
      <c r="A469" s="1">
        <v>42105</v>
      </c>
      <c r="B469">
        <v>126508</v>
      </c>
      <c r="C469">
        <v>126044</v>
      </c>
      <c r="D469">
        <v>3072</v>
      </c>
      <c r="E469">
        <v>2015</v>
      </c>
      <c r="F469">
        <v>4</v>
      </c>
      <c r="G469" t="s">
        <v>26</v>
      </c>
      <c r="H469">
        <v>2</v>
      </c>
      <c r="I469">
        <v>11</v>
      </c>
      <c r="J469" t="s">
        <v>22</v>
      </c>
      <c r="K469">
        <v>41</v>
      </c>
      <c r="L469">
        <v>464</v>
      </c>
      <c r="M469">
        <v>0</v>
      </c>
      <c r="N469">
        <v>0</v>
      </c>
      <c r="O469">
        <v>0</v>
      </c>
    </row>
    <row r="470" spans="1:15" x14ac:dyDescent="0.3">
      <c r="A470" s="1">
        <v>42106</v>
      </c>
      <c r="B470">
        <v>79649</v>
      </c>
      <c r="C470">
        <v>79349</v>
      </c>
      <c r="D470">
        <v>1934</v>
      </c>
      <c r="E470">
        <v>2015</v>
      </c>
      <c r="F470">
        <v>4</v>
      </c>
      <c r="G470" t="s">
        <v>26</v>
      </c>
      <c r="H470">
        <v>2</v>
      </c>
      <c r="I470">
        <v>12</v>
      </c>
      <c r="J470" t="s">
        <v>23</v>
      </c>
      <c r="K470">
        <v>41</v>
      </c>
      <c r="L470">
        <v>299</v>
      </c>
      <c r="M470">
        <v>0</v>
      </c>
      <c r="N470">
        <v>0</v>
      </c>
      <c r="O470">
        <v>0</v>
      </c>
    </row>
    <row r="471" spans="1:15" x14ac:dyDescent="0.3">
      <c r="A471" s="1">
        <v>42107</v>
      </c>
      <c r="B471">
        <v>83137</v>
      </c>
      <c r="C471">
        <v>82700</v>
      </c>
      <c r="D471">
        <v>2019</v>
      </c>
      <c r="E471">
        <v>2015</v>
      </c>
      <c r="F471">
        <v>4</v>
      </c>
      <c r="G471" t="s">
        <v>26</v>
      </c>
      <c r="H471">
        <v>2</v>
      </c>
      <c r="I471">
        <v>13</v>
      </c>
      <c r="J471" t="s">
        <v>16</v>
      </c>
      <c r="K471">
        <v>41</v>
      </c>
      <c r="L471">
        <v>437</v>
      </c>
      <c r="M471">
        <v>0</v>
      </c>
      <c r="N471">
        <v>1</v>
      </c>
      <c r="O471">
        <v>1</v>
      </c>
    </row>
    <row r="472" spans="1:15" x14ac:dyDescent="0.3">
      <c r="A472" s="1">
        <v>42108</v>
      </c>
      <c r="B472">
        <v>40776</v>
      </c>
      <c r="C472">
        <v>39940</v>
      </c>
      <c r="D472">
        <v>979</v>
      </c>
      <c r="E472">
        <v>2015</v>
      </c>
      <c r="F472">
        <v>4</v>
      </c>
      <c r="G472" t="s">
        <v>26</v>
      </c>
      <c r="H472">
        <v>2</v>
      </c>
      <c r="I472">
        <v>14</v>
      </c>
      <c r="J472" t="s">
        <v>17</v>
      </c>
      <c r="K472">
        <v>42</v>
      </c>
      <c r="L472">
        <v>836</v>
      </c>
      <c r="M472">
        <v>1</v>
      </c>
      <c r="N472">
        <v>2</v>
      </c>
      <c r="O472">
        <v>2</v>
      </c>
    </row>
    <row r="473" spans="1:15" x14ac:dyDescent="0.3">
      <c r="A473" s="1">
        <v>42109</v>
      </c>
      <c r="B473">
        <v>58278</v>
      </c>
      <c r="C473">
        <v>56970</v>
      </c>
      <c r="D473">
        <v>1398</v>
      </c>
      <c r="E473">
        <v>2015</v>
      </c>
      <c r="F473">
        <v>4</v>
      </c>
      <c r="G473" t="s">
        <v>26</v>
      </c>
      <c r="H473">
        <v>2</v>
      </c>
      <c r="I473">
        <v>15</v>
      </c>
      <c r="J473" t="s">
        <v>19</v>
      </c>
      <c r="K473">
        <v>42</v>
      </c>
      <c r="L473">
        <v>1309</v>
      </c>
      <c r="M473">
        <v>1</v>
      </c>
      <c r="N473">
        <v>2</v>
      </c>
      <c r="O473">
        <v>2</v>
      </c>
    </row>
    <row r="474" spans="1:15" x14ac:dyDescent="0.3">
      <c r="A474" s="1">
        <v>42110</v>
      </c>
      <c r="B474">
        <v>50000</v>
      </c>
      <c r="C474">
        <v>48828</v>
      </c>
      <c r="D474">
        <v>1198</v>
      </c>
      <c r="E474">
        <v>2015</v>
      </c>
      <c r="F474">
        <v>4</v>
      </c>
      <c r="G474" t="s">
        <v>26</v>
      </c>
      <c r="H474">
        <v>2</v>
      </c>
      <c r="I474">
        <v>16</v>
      </c>
      <c r="J474" t="s">
        <v>20</v>
      </c>
      <c r="K474">
        <v>42</v>
      </c>
      <c r="L474">
        <v>1172</v>
      </c>
      <c r="M474">
        <v>1</v>
      </c>
      <c r="N474">
        <v>2</v>
      </c>
      <c r="O474">
        <v>2</v>
      </c>
    </row>
    <row r="475" spans="1:15" x14ac:dyDescent="0.3">
      <c r="A475" s="1">
        <v>42111</v>
      </c>
      <c r="B475">
        <v>103912</v>
      </c>
      <c r="C475">
        <v>101409</v>
      </c>
      <c r="D475">
        <v>2485</v>
      </c>
      <c r="E475">
        <v>2015</v>
      </c>
      <c r="F475">
        <v>4</v>
      </c>
      <c r="G475" t="s">
        <v>26</v>
      </c>
      <c r="H475">
        <v>2</v>
      </c>
      <c r="I475">
        <v>17</v>
      </c>
      <c r="J475" t="s">
        <v>21</v>
      </c>
      <c r="K475">
        <v>42</v>
      </c>
      <c r="L475">
        <v>2503</v>
      </c>
      <c r="M475">
        <v>1</v>
      </c>
      <c r="N475">
        <v>2</v>
      </c>
      <c r="O475">
        <v>2</v>
      </c>
    </row>
    <row r="476" spans="1:15" x14ac:dyDescent="0.3">
      <c r="A476" s="1">
        <v>42112</v>
      </c>
      <c r="B476">
        <v>132843</v>
      </c>
      <c r="C476">
        <v>129546</v>
      </c>
      <c r="D476">
        <v>3172</v>
      </c>
      <c r="E476">
        <v>2015</v>
      </c>
      <c r="F476">
        <v>4</v>
      </c>
      <c r="G476" t="s">
        <v>26</v>
      </c>
      <c r="H476">
        <v>2</v>
      </c>
      <c r="I476">
        <v>18</v>
      </c>
      <c r="J476" t="s">
        <v>22</v>
      </c>
      <c r="K476">
        <v>42</v>
      </c>
      <c r="L476">
        <v>3298</v>
      </c>
      <c r="M476">
        <v>1</v>
      </c>
      <c r="N476">
        <v>2</v>
      </c>
      <c r="O476">
        <v>2</v>
      </c>
    </row>
    <row r="477" spans="1:15" x14ac:dyDescent="0.3">
      <c r="A477" s="1">
        <v>42113</v>
      </c>
      <c r="B477">
        <v>62787</v>
      </c>
      <c r="C477">
        <v>61213</v>
      </c>
      <c r="D477">
        <v>1497</v>
      </c>
      <c r="E477">
        <v>2015</v>
      </c>
      <c r="F477">
        <v>4</v>
      </c>
      <c r="G477" t="s">
        <v>26</v>
      </c>
      <c r="H477">
        <v>2</v>
      </c>
      <c r="I477">
        <v>19</v>
      </c>
      <c r="J477" t="s">
        <v>23</v>
      </c>
      <c r="K477">
        <v>42</v>
      </c>
      <c r="L477">
        <v>1573</v>
      </c>
      <c r="M477">
        <v>1</v>
      </c>
      <c r="N477">
        <v>3</v>
      </c>
      <c r="O477">
        <v>3</v>
      </c>
    </row>
    <row r="478" spans="1:15" x14ac:dyDescent="0.3">
      <c r="A478" s="1">
        <v>42114</v>
      </c>
      <c r="B478">
        <v>57233</v>
      </c>
      <c r="C478">
        <v>55707</v>
      </c>
      <c r="D478">
        <v>1365</v>
      </c>
      <c r="E478">
        <v>2015</v>
      </c>
      <c r="F478">
        <v>4</v>
      </c>
      <c r="G478" t="s">
        <v>26</v>
      </c>
      <c r="H478">
        <v>2</v>
      </c>
      <c r="I478">
        <v>20</v>
      </c>
      <c r="J478" t="s">
        <v>16</v>
      </c>
      <c r="K478">
        <v>42</v>
      </c>
      <c r="L478">
        <v>1527</v>
      </c>
      <c r="M478">
        <v>1</v>
      </c>
      <c r="N478">
        <v>3</v>
      </c>
      <c r="O478">
        <v>3</v>
      </c>
    </row>
    <row r="479" spans="1:15" x14ac:dyDescent="0.3">
      <c r="A479" s="1">
        <v>42115</v>
      </c>
      <c r="B479">
        <v>56874</v>
      </c>
      <c r="C479">
        <v>55172</v>
      </c>
      <c r="D479">
        <v>1353</v>
      </c>
      <c r="E479">
        <v>2015</v>
      </c>
      <c r="F479">
        <v>4</v>
      </c>
      <c r="G479" t="s">
        <v>26</v>
      </c>
      <c r="H479">
        <v>2</v>
      </c>
      <c r="I479">
        <v>21</v>
      </c>
      <c r="J479" t="s">
        <v>17</v>
      </c>
      <c r="K479">
        <v>42</v>
      </c>
      <c r="L479">
        <v>1702</v>
      </c>
      <c r="M479">
        <v>1</v>
      </c>
      <c r="N479">
        <v>3</v>
      </c>
      <c r="O479">
        <v>3</v>
      </c>
    </row>
    <row r="480" spans="1:15" x14ac:dyDescent="0.3">
      <c r="A480" s="1">
        <v>42116</v>
      </c>
      <c r="B480">
        <v>132738</v>
      </c>
      <c r="C480">
        <v>140264</v>
      </c>
      <c r="D480">
        <v>3439</v>
      </c>
      <c r="E480">
        <v>2015</v>
      </c>
      <c r="F480">
        <v>4</v>
      </c>
      <c r="G480" t="s">
        <v>26</v>
      </c>
      <c r="H480">
        <v>2</v>
      </c>
      <c r="I480">
        <v>22</v>
      </c>
      <c r="J480" t="s">
        <v>19</v>
      </c>
      <c r="K480">
        <v>39</v>
      </c>
      <c r="L480">
        <v>-7526</v>
      </c>
      <c r="M480">
        <v>-2</v>
      </c>
      <c r="N480">
        <v>-6</v>
      </c>
      <c r="O480">
        <v>-6</v>
      </c>
    </row>
    <row r="481" spans="1:15" x14ac:dyDescent="0.3">
      <c r="A481" s="1">
        <v>42117</v>
      </c>
      <c r="B481">
        <v>60310</v>
      </c>
      <c r="C481">
        <v>58446</v>
      </c>
      <c r="D481">
        <v>1434</v>
      </c>
      <c r="E481">
        <v>2015</v>
      </c>
      <c r="F481">
        <v>4</v>
      </c>
      <c r="G481" t="s">
        <v>26</v>
      </c>
      <c r="H481">
        <v>2</v>
      </c>
      <c r="I481">
        <v>23</v>
      </c>
      <c r="J481" t="s">
        <v>20</v>
      </c>
      <c r="K481">
        <v>42</v>
      </c>
      <c r="L481">
        <v>1864</v>
      </c>
      <c r="M481">
        <v>1</v>
      </c>
      <c r="N481">
        <v>3</v>
      </c>
      <c r="O481">
        <v>3</v>
      </c>
    </row>
    <row r="482" spans="1:15" x14ac:dyDescent="0.3">
      <c r="A482" s="1">
        <v>42118</v>
      </c>
      <c r="B482">
        <v>343587</v>
      </c>
      <c r="C482">
        <v>362391</v>
      </c>
      <c r="D482">
        <v>8892</v>
      </c>
      <c r="E482">
        <v>2015</v>
      </c>
      <c r="F482">
        <v>4</v>
      </c>
      <c r="G482" t="s">
        <v>26</v>
      </c>
      <c r="H482">
        <v>2</v>
      </c>
      <c r="I482">
        <v>24</v>
      </c>
      <c r="J482" t="s">
        <v>21</v>
      </c>
      <c r="K482">
        <v>39</v>
      </c>
      <c r="L482">
        <v>-18804</v>
      </c>
      <c r="M482">
        <v>-2</v>
      </c>
      <c r="N482">
        <v>-5</v>
      </c>
      <c r="O482">
        <v>-5</v>
      </c>
    </row>
    <row r="483" spans="1:15" x14ac:dyDescent="0.3">
      <c r="A483" s="1">
        <v>42119</v>
      </c>
      <c r="B483">
        <v>496882</v>
      </c>
      <c r="C483">
        <v>535306</v>
      </c>
      <c r="D483">
        <v>13144</v>
      </c>
      <c r="E483">
        <v>2015</v>
      </c>
      <c r="F483">
        <v>4</v>
      </c>
      <c r="G483" t="s">
        <v>26</v>
      </c>
      <c r="H483">
        <v>2</v>
      </c>
      <c r="I483">
        <v>25</v>
      </c>
      <c r="J483" t="s">
        <v>22</v>
      </c>
      <c r="K483">
        <v>38</v>
      </c>
      <c r="L483">
        <v>-38424</v>
      </c>
      <c r="M483">
        <v>-3</v>
      </c>
      <c r="N483">
        <v>-8</v>
      </c>
      <c r="O483">
        <v>-8</v>
      </c>
    </row>
    <row r="484" spans="1:15" x14ac:dyDescent="0.3">
      <c r="A484" s="1">
        <v>42120</v>
      </c>
      <c r="B484">
        <v>200370</v>
      </c>
      <c r="C484">
        <v>210965</v>
      </c>
      <c r="D484">
        <v>5179</v>
      </c>
      <c r="E484">
        <v>2015</v>
      </c>
      <c r="F484">
        <v>4</v>
      </c>
      <c r="G484" t="s">
        <v>26</v>
      </c>
      <c r="H484">
        <v>2</v>
      </c>
      <c r="I484">
        <v>26</v>
      </c>
      <c r="J484" t="s">
        <v>23</v>
      </c>
      <c r="K484">
        <v>39</v>
      </c>
      <c r="L484">
        <v>-10595</v>
      </c>
      <c r="M484">
        <v>-2</v>
      </c>
      <c r="N484">
        <v>-5</v>
      </c>
      <c r="O484">
        <v>-5</v>
      </c>
    </row>
    <row r="485" spans="1:15" x14ac:dyDescent="0.3">
      <c r="A485" s="1">
        <v>42121</v>
      </c>
      <c r="B485">
        <v>194028</v>
      </c>
      <c r="C485">
        <v>204053</v>
      </c>
      <c r="D485">
        <v>5014</v>
      </c>
      <c r="E485">
        <v>2015</v>
      </c>
      <c r="F485">
        <v>4</v>
      </c>
      <c r="G485" t="s">
        <v>26</v>
      </c>
      <c r="H485">
        <v>2</v>
      </c>
      <c r="I485">
        <v>27</v>
      </c>
      <c r="J485" t="s">
        <v>16</v>
      </c>
      <c r="K485">
        <v>39</v>
      </c>
      <c r="L485">
        <v>-10025</v>
      </c>
      <c r="M485">
        <v>-2</v>
      </c>
      <c r="N485">
        <v>-5</v>
      </c>
      <c r="O485">
        <v>-5</v>
      </c>
    </row>
    <row r="486" spans="1:15" x14ac:dyDescent="0.3">
      <c r="A486" s="1">
        <v>42122</v>
      </c>
      <c r="B486">
        <v>190561</v>
      </c>
      <c r="C486">
        <v>200804</v>
      </c>
      <c r="D486">
        <v>4936</v>
      </c>
      <c r="E486">
        <v>2015</v>
      </c>
      <c r="F486">
        <v>4</v>
      </c>
      <c r="G486" t="s">
        <v>26</v>
      </c>
      <c r="H486">
        <v>2</v>
      </c>
      <c r="I486">
        <v>28</v>
      </c>
      <c r="J486" t="s">
        <v>17</v>
      </c>
      <c r="K486">
        <v>39</v>
      </c>
      <c r="L486">
        <v>-10243</v>
      </c>
      <c r="M486">
        <v>-2</v>
      </c>
      <c r="N486">
        <v>-5</v>
      </c>
      <c r="O486">
        <v>-5</v>
      </c>
    </row>
    <row r="487" spans="1:15" x14ac:dyDescent="0.3">
      <c r="A487" s="1">
        <v>42123</v>
      </c>
      <c r="B487">
        <v>198985</v>
      </c>
      <c r="C487">
        <v>209484</v>
      </c>
      <c r="D487">
        <v>5150</v>
      </c>
      <c r="E487">
        <v>2015</v>
      </c>
      <c r="F487">
        <v>4</v>
      </c>
      <c r="G487" t="s">
        <v>26</v>
      </c>
      <c r="H487">
        <v>2</v>
      </c>
      <c r="I487">
        <v>29</v>
      </c>
      <c r="J487" t="s">
        <v>19</v>
      </c>
      <c r="K487">
        <v>39</v>
      </c>
      <c r="L487">
        <v>-10498</v>
      </c>
      <c r="M487">
        <v>-2</v>
      </c>
      <c r="N487">
        <v>-5</v>
      </c>
      <c r="O487">
        <v>-5</v>
      </c>
    </row>
    <row r="488" spans="1:15" x14ac:dyDescent="0.3">
      <c r="A488" s="1">
        <v>42124</v>
      </c>
      <c r="B488">
        <v>385483</v>
      </c>
      <c r="C488">
        <v>406252</v>
      </c>
      <c r="D488">
        <v>9986</v>
      </c>
      <c r="E488">
        <v>2015</v>
      </c>
      <c r="F488">
        <v>4</v>
      </c>
      <c r="G488" t="s">
        <v>26</v>
      </c>
      <c r="H488">
        <v>2</v>
      </c>
      <c r="I488">
        <v>30</v>
      </c>
      <c r="J488" t="s">
        <v>20</v>
      </c>
      <c r="K488">
        <v>39</v>
      </c>
      <c r="L488">
        <v>-20769</v>
      </c>
      <c r="M488">
        <v>-2</v>
      </c>
      <c r="N488">
        <v>-5</v>
      </c>
      <c r="O488">
        <v>-5</v>
      </c>
    </row>
    <row r="489" spans="1:15" x14ac:dyDescent="0.3">
      <c r="A489" s="1">
        <v>42125</v>
      </c>
      <c r="B489">
        <v>499703</v>
      </c>
      <c r="C489">
        <v>526207</v>
      </c>
      <c r="D489">
        <v>12937</v>
      </c>
      <c r="E489">
        <v>2015</v>
      </c>
      <c r="F489">
        <v>5</v>
      </c>
      <c r="G489" t="s">
        <v>27</v>
      </c>
      <c r="H489">
        <v>2</v>
      </c>
      <c r="I489">
        <v>1</v>
      </c>
      <c r="J489" t="s">
        <v>21</v>
      </c>
      <c r="K489">
        <v>39</v>
      </c>
      <c r="L489">
        <v>-26504</v>
      </c>
      <c r="M489">
        <v>-2</v>
      </c>
      <c r="N489">
        <v>-5</v>
      </c>
      <c r="O489">
        <v>-5</v>
      </c>
    </row>
    <row r="490" spans="1:15" x14ac:dyDescent="0.3">
      <c r="A490" s="1">
        <v>42126</v>
      </c>
      <c r="B490">
        <v>461667</v>
      </c>
      <c r="C490">
        <v>496853</v>
      </c>
      <c r="D490">
        <v>12217</v>
      </c>
      <c r="E490">
        <v>2015</v>
      </c>
      <c r="F490">
        <v>5</v>
      </c>
      <c r="G490" t="s">
        <v>27</v>
      </c>
      <c r="H490">
        <v>2</v>
      </c>
      <c r="I490">
        <v>2</v>
      </c>
      <c r="J490" t="s">
        <v>22</v>
      </c>
      <c r="K490">
        <v>38</v>
      </c>
      <c r="L490">
        <v>-35186</v>
      </c>
      <c r="M490">
        <v>-3</v>
      </c>
      <c r="N490">
        <v>-8</v>
      </c>
      <c r="O490">
        <v>-8</v>
      </c>
    </row>
    <row r="491" spans="1:15" x14ac:dyDescent="0.3">
      <c r="A491" s="1">
        <v>42127</v>
      </c>
      <c r="B491">
        <v>259542</v>
      </c>
      <c r="C491">
        <v>273280</v>
      </c>
      <c r="D491">
        <v>6721</v>
      </c>
      <c r="E491">
        <v>2015</v>
      </c>
      <c r="F491">
        <v>5</v>
      </c>
      <c r="G491" t="s">
        <v>27</v>
      </c>
      <c r="H491">
        <v>2</v>
      </c>
      <c r="I491">
        <v>3</v>
      </c>
      <c r="J491" t="s">
        <v>23</v>
      </c>
      <c r="K491">
        <v>39</v>
      </c>
      <c r="L491">
        <v>-13738</v>
      </c>
      <c r="M491">
        <v>-2</v>
      </c>
      <c r="N491">
        <v>-5</v>
      </c>
      <c r="O491">
        <v>-5</v>
      </c>
    </row>
    <row r="492" spans="1:15" x14ac:dyDescent="0.3">
      <c r="A492" s="1">
        <v>42128</v>
      </c>
      <c r="B492">
        <v>320309</v>
      </c>
      <c r="C492">
        <v>336743</v>
      </c>
      <c r="D492">
        <v>8283</v>
      </c>
      <c r="E492">
        <v>2015</v>
      </c>
      <c r="F492">
        <v>5</v>
      </c>
      <c r="G492" t="s">
        <v>27</v>
      </c>
      <c r="H492">
        <v>2</v>
      </c>
      <c r="I492">
        <v>4</v>
      </c>
      <c r="J492" t="s">
        <v>16</v>
      </c>
      <c r="K492">
        <v>39</v>
      </c>
      <c r="L492">
        <v>-16433</v>
      </c>
      <c r="M492">
        <v>-2</v>
      </c>
      <c r="N492">
        <v>-5</v>
      </c>
      <c r="O492">
        <v>-5</v>
      </c>
    </row>
    <row r="493" spans="1:15" x14ac:dyDescent="0.3">
      <c r="A493" s="1">
        <v>42129</v>
      </c>
      <c r="B493">
        <v>239923</v>
      </c>
      <c r="C493">
        <v>251701</v>
      </c>
      <c r="D493">
        <v>6191</v>
      </c>
      <c r="E493">
        <v>2015</v>
      </c>
      <c r="F493">
        <v>5</v>
      </c>
      <c r="G493" t="s">
        <v>27</v>
      </c>
      <c r="H493">
        <v>2</v>
      </c>
      <c r="I493">
        <v>5</v>
      </c>
      <c r="J493" t="s">
        <v>17</v>
      </c>
      <c r="K493">
        <v>39</v>
      </c>
      <c r="L493">
        <v>-11778</v>
      </c>
      <c r="M493">
        <v>-2</v>
      </c>
      <c r="N493">
        <v>-5</v>
      </c>
      <c r="O493">
        <v>-5</v>
      </c>
    </row>
    <row r="494" spans="1:15" x14ac:dyDescent="0.3">
      <c r="A494" s="1">
        <v>42130</v>
      </c>
      <c r="B494">
        <v>224994</v>
      </c>
      <c r="C494">
        <v>242260</v>
      </c>
      <c r="D494">
        <v>5959</v>
      </c>
      <c r="E494">
        <v>2015</v>
      </c>
      <c r="F494">
        <v>5</v>
      </c>
      <c r="G494" t="s">
        <v>27</v>
      </c>
      <c r="H494">
        <v>2</v>
      </c>
      <c r="I494">
        <v>6</v>
      </c>
      <c r="J494" t="s">
        <v>19</v>
      </c>
      <c r="K494">
        <v>38</v>
      </c>
      <c r="L494">
        <v>-17266</v>
      </c>
      <c r="M494">
        <v>-3</v>
      </c>
      <c r="N494">
        <v>-8</v>
      </c>
      <c r="O494">
        <v>-8</v>
      </c>
    </row>
    <row r="495" spans="1:15" x14ac:dyDescent="0.3">
      <c r="A495" s="1">
        <v>42131</v>
      </c>
      <c r="B495">
        <v>117198</v>
      </c>
      <c r="C495">
        <v>115769</v>
      </c>
      <c r="D495">
        <v>2848</v>
      </c>
      <c r="E495">
        <v>2015</v>
      </c>
      <c r="F495">
        <v>5</v>
      </c>
      <c r="G495" t="s">
        <v>27</v>
      </c>
      <c r="H495">
        <v>2</v>
      </c>
      <c r="I495">
        <v>7</v>
      </c>
      <c r="J495" t="s">
        <v>20</v>
      </c>
      <c r="K495">
        <v>41</v>
      </c>
      <c r="L495">
        <v>1429</v>
      </c>
      <c r="M495">
        <v>1</v>
      </c>
      <c r="N495">
        <v>1</v>
      </c>
      <c r="O495">
        <v>1</v>
      </c>
    </row>
    <row r="496" spans="1:15" x14ac:dyDescent="0.3">
      <c r="A496" s="1">
        <v>42132</v>
      </c>
      <c r="B496">
        <v>330589</v>
      </c>
      <c r="C496">
        <v>355565</v>
      </c>
      <c r="D496">
        <v>8748</v>
      </c>
      <c r="E496">
        <v>2015</v>
      </c>
      <c r="F496">
        <v>5</v>
      </c>
      <c r="G496" t="s">
        <v>27</v>
      </c>
      <c r="H496">
        <v>2</v>
      </c>
      <c r="I496">
        <v>8</v>
      </c>
      <c r="J496" t="s">
        <v>21</v>
      </c>
      <c r="K496">
        <v>38</v>
      </c>
      <c r="L496">
        <v>-24976</v>
      </c>
      <c r="M496">
        <v>-3</v>
      </c>
      <c r="N496">
        <v>-8</v>
      </c>
      <c r="O496">
        <v>-8</v>
      </c>
    </row>
    <row r="497" spans="1:15" x14ac:dyDescent="0.3">
      <c r="A497" s="1">
        <v>42133</v>
      </c>
      <c r="B497">
        <v>389972</v>
      </c>
      <c r="C497">
        <v>419827</v>
      </c>
      <c r="D497">
        <v>10329</v>
      </c>
      <c r="E497">
        <v>2015</v>
      </c>
      <c r="F497">
        <v>5</v>
      </c>
      <c r="G497" t="s">
        <v>27</v>
      </c>
      <c r="H497">
        <v>2</v>
      </c>
      <c r="I497">
        <v>9</v>
      </c>
      <c r="J497" t="s">
        <v>22</v>
      </c>
      <c r="K497">
        <v>38</v>
      </c>
      <c r="L497">
        <v>-29855</v>
      </c>
      <c r="M497">
        <v>-3</v>
      </c>
      <c r="N497">
        <v>-8</v>
      </c>
      <c r="O497">
        <v>-8</v>
      </c>
    </row>
    <row r="498" spans="1:15" x14ac:dyDescent="0.3">
      <c r="A498" s="1">
        <v>42134</v>
      </c>
      <c r="B498">
        <v>166536</v>
      </c>
      <c r="C498">
        <v>179243</v>
      </c>
      <c r="D498">
        <v>4410</v>
      </c>
      <c r="E498">
        <v>2015</v>
      </c>
      <c r="F498">
        <v>5</v>
      </c>
      <c r="G498" t="s">
        <v>27</v>
      </c>
      <c r="H498">
        <v>2</v>
      </c>
      <c r="I498">
        <v>10</v>
      </c>
      <c r="J498" t="s">
        <v>23</v>
      </c>
      <c r="K498">
        <v>38</v>
      </c>
      <c r="L498">
        <v>-12707</v>
      </c>
      <c r="M498">
        <v>-3</v>
      </c>
      <c r="N498">
        <v>-8</v>
      </c>
      <c r="O498">
        <v>-8</v>
      </c>
    </row>
    <row r="499" spans="1:15" x14ac:dyDescent="0.3">
      <c r="A499" s="1">
        <v>42135</v>
      </c>
      <c r="B499">
        <v>198443</v>
      </c>
      <c r="C499">
        <v>213676</v>
      </c>
      <c r="D499">
        <v>5257</v>
      </c>
      <c r="E499">
        <v>2015</v>
      </c>
      <c r="F499">
        <v>5</v>
      </c>
      <c r="G499" t="s">
        <v>27</v>
      </c>
      <c r="H499">
        <v>2</v>
      </c>
      <c r="I499">
        <v>11</v>
      </c>
      <c r="J499" t="s">
        <v>16</v>
      </c>
      <c r="K499">
        <v>38</v>
      </c>
      <c r="L499">
        <v>-15234</v>
      </c>
      <c r="M499">
        <v>-3</v>
      </c>
      <c r="N499">
        <v>-8</v>
      </c>
      <c r="O499">
        <v>-8</v>
      </c>
    </row>
    <row r="500" spans="1:15" x14ac:dyDescent="0.3">
      <c r="A500" s="1">
        <v>42136</v>
      </c>
      <c r="B500">
        <v>193182</v>
      </c>
      <c r="C500">
        <v>208039</v>
      </c>
      <c r="D500">
        <v>5118</v>
      </c>
      <c r="E500">
        <v>2015</v>
      </c>
      <c r="F500">
        <v>5</v>
      </c>
      <c r="G500" t="s">
        <v>27</v>
      </c>
      <c r="H500">
        <v>2</v>
      </c>
      <c r="I500">
        <v>12</v>
      </c>
      <c r="J500" t="s">
        <v>17</v>
      </c>
      <c r="K500">
        <v>38</v>
      </c>
      <c r="L500">
        <v>-14857</v>
      </c>
      <c r="M500">
        <v>-3</v>
      </c>
      <c r="N500">
        <v>-8</v>
      </c>
      <c r="O500">
        <v>-8</v>
      </c>
    </row>
    <row r="501" spans="1:15" x14ac:dyDescent="0.3">
      <c r="A501" s="1">
        <v>42137</v>
      </c>
      <c r="B501">
        <v>166403</v>
      </c>
      <c r="C501">
        <v>179222</v>
      </c>
      <c r="D501">
        <v>4410</v>
      </c>
      <c r="E501">
        <v>2015</v>
      </c>
      <c r="F501">
        <v>5</v>
      </c>
      <c r="G501" t="s">
        <v>27</v>
      </c>
      <c r="H501">
        <v>2</v>
      </c>
      <c r="I501">
        <v>13</v>
      </c>
      <c r="J501" t="s">
        <v>19</v>
      </c>
      <c r="K501">
        <v>38</v>
      </c>
      <c r="L501">
        <v>-12818</v>
      </c>
      <c r="M501">
        <v>-3</v>
      </c>
      <c r="N501">
        <v>-8</v>
      </c>
      <c r="O501">
        <v>-8</v>
      </c>
    </row>
    <row r="502" spans="1:15" x14ac:dyDescent="0.3">
      <c r="A502" s="1">
        <v>42138</v>
      </c>
      <c r="B502">
        <v>149179</v>
      </c>
      <c r="C502">
        <v>160620</v>
      </c>
      <c r="D502">
        <v>3952</v>
      </c>
      <c r="E502">
        <v>2015</v>
      </c>
      <c r="F502">
        <v>5</v>
      </c>
      <c r="G502" t="s">
        <v>27</v>
      </c>
      <c r="H502">
        <v>2</v>
      </c>
      <c r="I502">
        <v>14</v>
      </c>
      <c r="J502" t="s">
        <v>20</v>
      </c>
      <c r="K502">
        <v>38</v>
      </c>
      <c r="L502">
        <v>-11442</v>
      </c>
      <c r="M502">
        <v>-3</v>
      </c>
      <c r="N502">
        <v>-8</v>
      </c>
      <c r="O502">
        <v>-8</v>
      </c>
    </row>
    <row r="503" spans="1:15" x14ac:dyDescent="0.3">
      <c r="A503" s="1">
        <v>42139</v>
      </c>
      <c r="B503">
        <v>380593</v>
      </c>
      <c r="C503">
        <v>409812</v>
      </c>
      <c r="D503">
        <v>10084</v>
      </c>
      <c r="E503">
        <v>2015</v>
      </c>
      <c r="F503">
        <v>5</v>
      </c>
      <c r="G503" t="s">
        <v>27</v>
      </c>
      <c r="H503">
        <v>2</v>
      </c>
      <c r="I503">
        <v>15</v>
      </c>
      <c r="J503" t="s">
        <v>21</v>
      </c>
      <c r="K503">
        <v>38</v>
      </c>
      <c r="L503">
        <v>-29220</v>
      </c>
      <c r="M503">
        <v>-3</v>
      </c>
      <c r="N503">
        <v>-8</v>
      </c>
      <c r="O503">
        <v>-8</v>
      </c>
    </row>
    <row r="504" spans="1:15" x14ac:dyDescent="0.3">
      <c r="A504" s="1">
        <v>42140</v>
      </c>
      <c r="B504">
        <v>413700</v>
      </c>
      <c r="C504">
        <v>445570</v>
      </c>
      <c r="D504">
        <v>10964</v>
      </c>
      <c r="E504">
        <v>2015</v>
      </c>
      <c r="F504">
        <v>5</v>
      </c>
      <c r="G504" t="s">
        <v>27</v>
      </c>
      <c r="H504">
        <v>2</v>
      </c>
      <c r="I504">
        <v>16</v>
      </c>
      <c r="J504" t="s">
        <v>22</v>
      </c>
      <c r="K504">
        <v>38</v>
      </c>
      <c r="L504">
        <v>-31870</v>
      </c>
      <c r="M504">
        <v>-3</v>
      </c>
      <c r="N504">
        <v>-8</v>
      </c>
      <c r="O504">
        <v>-8</v>
      </c>
    </row>
    <row r="505" spans="1:15" x14ac:dyDescent="0.3">
      <c r="A505" s="1">
        <v>42141</v>
      </c>
      <c r="B505">
        <v>177160</v>
      </c>
      <c r="C505">
        <v>190812</v>
      </c>
      <c r="D505">
        <v>4695</v>
      </c>
      <c r="E505">
        <v>2015</v>
      </c>
      <c r="F505">
        <v>5</v>
      </c>
      <c r="G505" t="s">
        <v>27</v>
      </c>
      <c r="H505">
        <v>2</v>
      </c>
      <c r="I505">
        <v>17</v>
      </c>
      <c r="J505" t="s">
        <v>23</v>
      </c>
      <c r="K505">
        <v>38</v>
      </c>
      <c r="L505">
        <v>-13652</v>
      </c>
      <c r="M505">
        <v>-3</v>
      </c>
      <c r="N505">
        <v>-8</v>
      </c>
      <c r="O505">
        <v>-8</v>
      </c>
    </row>
    <row r="506" spans="1:15" x14ac:dyDescent="0.3">
      <c r="A506" s="1">
        <v>42142</v>
      </c>
      <c r="B506">
        <v>196421</v>
      </c>
      <c r="C506">
        <v>211511</v>
      </c>
      <c r="D506">
        <v>5205</v>
      </c>
      <c r="E506">
        <v>2015</v>
      </c>
      <c r="F506">
        <v>5</v>
      </c>
      <c r="G506" t="s">
        <v>27</v>
      </c>
      <c r="H506">
        <v>2</v>
      </c>
      <c r="I506">
        <v>18</v>
      </c>
      <c r="J506" t="s">
        <v>16</v>
      </c>
      <c r="K506">
        <v>38</v>
      </c>
      <c r="L506">
        <v>-15090</v>
      </c>
      <c r="M506">
        <v>-3</v>
      </c>
      <c r="N506">
        <v>-8</v>
      </c>
      <c r="O506">
        <v>-8</v>
      </c>
    </row>
    <row r="507" spans="1:15" x14ac:dyDescent="0.3">
      <c r="A507" s="1">
        <v>42143</v>
      </c>
      <c r="B507">
        <v>137941</v>
      </c>
      <c r="C507">
        <v>147846</v>
      </c>
      <c r="D507">
        <v>3638</v>
      </c>
      <c r="E507">
        <v>2015</v>
      </c>
      <c r="F507">
        <v>5</v>
      </c>
      <c r="G507" t="s">
        <v>27</v>
      </c>
      <c r="H507">
        <v>2</v>
      </c>
      <c r="I507">
        <v>19</v>
      </c>
      <c r="J507" t="s">
        <v>17</v>
      </c>
      <c r="K507">
        <v>38</v>
      </c>
      <c r="L507">
        <v>-9905</v>
      </c>
      <c r="M507">
        <v>-3</v>
      </c>
      <c r="N507">
        <v>-7</v>
      </c>
      <c r="O507">
        <v>-7</v>
      </c>
    </row>
    <row r="508" spans="1:15" x14ac:dyDescent="0.3">
      <c r="A508" s="1">
        <v>42144</v>
      </c>
      <c r="B508">
        <v>166176</v>
      </c>
      <c r="C508">
        <v>178568</v>
      </c>
      <c r="D508">
        <v>4394</v>
      </c>
      <c r="E508">
        <v>2015</v>
      </c>
      <c r="F508">
        <v>5</v>
      </c>
      <c r="G508" t="s">
        <v>27</v>
      </c>
      <c r="H508">
        <v>2</v>
      </c>
      <c r="I508">
        <v>20</v>
      </c>
      <c r="J508" t="s">
        <v>19</v>
      </c>
      <c r="K508">
        <v>38</v>
      </c>
      <c r="L508">
        <v>-12392</v>
      </c>
      <c r="M508">
        <v>-3</v>
      </c>
      <c r="N508">
        <v>-7</v>
      </c>
      <c r="O508">
        <v>-7</v>
      </c>
    </row>
    <row r="509" spans="1:15" x14ac:dyDescent="0.3">
      <c r="A509" s="1">
        <v>42145</v>
      </c>
      <c r="B509">
        <v>84604</v>
      </c>
      <c r="C509">
        <v>81763</v>
      </c>
      <c r="D509">
        <v>2012</v>
      </c>
      <c r="E509">
        <v>2015</v>
      </c>
      <c r="F509">
        <v>5</v>
      </c>
      <c r="G509" t="s">
        <v>27</v>
      </c>
      <c r="H509">
        <v>2</v>
      </c>
      <c r="I509">
        <v>21</v>
      </c>
      <c r="J509" t="s">
        <v>20</v>
      </c>
      <c r="K509">
        <v>42</v>
      </c>
      <c r="L509">
        <v>2841</v>
      </c>
      <c r="M509">
        <v>1</v>
      </c>
      <c r="N509">
        <v>3</v>
      </c>
      <c r="O509">
        <v>3</v>
      </c>
    </row>
    <row r="510" spans="1:15" x14ac:dyDescent="0.3">
      <c r="A510" s="1">
        <v>42146</v>
      </c>
      <c r="B510">
        <v>321821</v>
      </c>
      <c r="C510">
        <v>346488</v>
      </c>
      <c r="D510">
        <v>8526</v>
      </c>
      <c r="E510">
        <v>2015</v>
      </c>
      <c r="F510">
        <v>5</v>
      </c>
      <c r="G510" t="s">
        <v>27</v>
      </c>
      <c r="H510">
        <v>2</v>
      </c>
      <c r="I510">
        <v>22</v>
      </c>
      <c r="J510" t="s">
        <v>21</v>
      </c>
      <c r="K510">
        <v>38</v>
      </c>
      <c r="L510">
        <v>-24667</v>
      </c>
      <c r="M510">
        <v>-3</v>
      </c>
      <c r="N510">
        <v>-8</v>
      </c>
      <c r="O510">
        <v>-8</v>
      </c>
    </row>
    <row r="511" spans="1:15" x14ac:dyDescent="0.3">
      <c r="A511" s="1">
        <v>42147</v>
      </c>
      <c r="B511">
        <v>418715</v>
      </c>
      <c r="C511">
        <v>450936</v>
      </c>
      <c r="D511">
        <v>11096</v>
      </c>
      <c r="E511">
        <v>2015</v>
      </c>
      <c r="F511">
        <v>5</v>
      </c>
      <c r="G511" t="s">
        <v>27</v>
      </c>
      <c r="H511">
        <v>2</v>
      </c>
      <c r="I511">
        <v>23</v>
      </c>
      <c r="J511" t="s">
        <v>22</v>
      </c>
      <c r="K511">
        <v>38</v>
      </c>
      <c r="L511">
        <v>-32221</v>
      </c>
      <c r="M511">
        <v>-3</v>
      </c>
      <c r="N511">
        <v>-8</v>
      </c>
      <c r="O511">
        <v>-8</v>
      </c>
    </row>
    <row r="512" spans="1:15" x14ac:dyDescent="0.3">
      <c r="A512" s="1">
        <v>42148</v>
      </c>
      <c r="B512">
        <v>169541</v>
      </c>
      <c r="C512">
        <v>182419</v>
      </c>
      <c r="D512">
        <v>4489</v>
      </c>
      <c r="E512">
        <v>2015</v>
      </c>
      <c r="F512">
        <v>5</v>
      </c>
      <c r="G512" t="s">
        <v>27</v>
      </c>
      <c r="H512">
        <v>2</v>
      </c>
      <c r="I512">
        <v>24</v>
      </c>
      <c r="J512" t="s">
        <v>23</v>
      </c>
      <c r="K512">
        <v>38</v>
      </c>
      <c r="L512">
        <v>-12878</v>
      </c>
      <c r="M512">
        <v>-3</v>
      </c>
      <c r="N512">
        <v>-8</v>
      </c>
      <c r="O512">
        <v>-8</v>
      </c>
    </row>
    <row r="513" spans="1:15" x14ac:dyDescent="0.3">
      <c r="A513" s="1">
        <v>42149</v>
      </c>
      <c r="B513">
        <v>256435</v>
      </c>
      <c r="C513">
        <v>276174</v>
      </c>
      <c r="D513">
        <v>6795</v>
      </c>
      <c r="E513">
        <v>2015</v>
      </c>
      <c r="F513">
        <v>5</v>
      </c>
      <c r="G513" t="s">
        <v>27</v>
      </c>
      <c r="H513">
        <v>2</v>
      </c>
      <c r="I513">
        <v>25</v>
      </c>
      <c r="J513" t="s">
        <v>16</v>
      </c>
      <c r="K513">
        <v>38</v>
      </c>
      <c r="L513">
        <v>-19739</v>
      </c>
      <c r="M513">
        <v>-3</v>
      </c>
      <c r="N513">
        <v>-8</v>
      </c>
      <c r="O513">
        <v>-8</v>
      </c>
    </row>
    <row r="514" spans="1:15" x14ac:dyDescent="0.3">
      <c r="A514" s="1">
        <v>42150</v>
      </c>
      <c r="B514">
        <v>199386</v>
      </c>
      <c r="C514">
        <v>214720</v>
      </c>
      <c r="D514">
        <v>5283</v>
      </c>
      <c r="E514">
        <v>2015</v>
      </c>
      <c r="F514">
        <v>5</v>
      </c>
      <c r="G514" t="s">
        <v>27</v>
      </c>
      <c r="H514">
        <v>2</v>
      </c>
      <c r="I514">
        <v>26</v>
      </c>
      <c r="J514" t="s">
        <v>17</v>
      </c>
      <c r="K514">
        <v>38</v>
      </c>
      <c r="L514">
        <v>-15334</v>
      </c>
      <c r="M514">
        <v>-3</v>
      </c>
      <c r="N514">
        <v>-8</v>
      </c>
      <c r="O514">
        <v>-8</v>
      </c>
    </row>
    <row r="515" spans="1:15" x14ac:dyDescent="0.3">
      <c r="A515" s="1">
        <v>42151</v>
      </c>
      <c r="B515">
        <v>243554</v>
      </c>
      <c r="C515">
        <v>262251</v>
      </c>
      <c r="D515">
        <v>6453</v>
      </c>
      <c r="E515">
        <v>2015</v>
      </c>
      <c r="F515">
        <v>5</v>
      </c>
      <c r="G515" t="s">
        <v>27</v>
      </c>
      <c r="H515">
        <v>2</v>
      </c>
      <c r="I515">
        <v>27</v>
      </c>
      <c r="J515" t="s">
        <v>19</v>
      </c>
      <c r="K515">
        <v>38</v>
      </c>
      <c r="L515">
        <v>-18697</v>
      </c>
      <c r="M515">
        <v>-3</v>
      </c>
      <c r="N515">
        <v>-8</v>
      </c>
      <c r="O515">
        <v>-8</v>
      </c>
    </row>
    <row r="516" spans="1:15" x14ac:dyDescent="0.3">
      <c r="A516" s="1">
        <v>42152</v>
      </c>
      <c r="B516">
        <v>217746</v>
      </c>
      <c r="C516">
        <v>234483</v>
      </c>
      <c r="D516">
        <v>5770</v>
      </c>
      <c r="E516">
        <v>2015</v>
      </c>
      <c r="F516">
        <v>5</v>
      </c>
      <c r="G516" t="s">
        <v>27</v>
      </c>
      <c r="H516">
        <v>2</v>
      </c>
      <c r="I516">
        <v>28</v>
      </c>
      <c r="J516" t="s">
        <v>20</v>
      </c>
      <c r="K516">
        <v>38</v>
      </c>
      <c r="L516">
        <v>-16737</v>
      </c>
      <c r="M516">
        <v>-3</v>
      </c>
      <c r="N516">
        <v>-8</v>
      </c>
      <c r="O516">
        <v>-8</v>
      </c>
    </row>
    <row r="517" spans="1:15" x14ac:dyDescent="0.3">
      <c r="A517" s="1">
        <v>42153</v>
      </c>
      <c r="B517">
        <v>472161</v>
      </c>
      <c r="C517">
        <v>508265</v>
      </c>
      <c r="D517">
        <v>12507</v>
      </c>
      <c r="E517">
        <v>2015</v>
      </c>
      <c r="F517">
        <v>5</v>
      </c>
      <c r="G517" t="s">
        <v>27</v>
      </c>
      <c r="H517">
        <v>2</v>
      </c>
      <c r="I517">
        <v>29</v>
      </c>
      <c r="J517" t="s">
        <v>21</v>
      </c>
      <c r="K517">
        <v>38</v>
      </c>
      <c r="L517">
        <v>-36104</v>
      </c>
      <c r="M517">
        <v>-3</v>
      </c>
      <c r="N517">
        <v>-8</v>
      </c>
      <c r="O517">
        <v>-8</v>
      </c>
    </row>
    <row r="518" spans="1:15" x14ac:dyDescent="0.3">
      <c r="A518" s="1">
        <v>42154</v>
      </c>
      <c r="B518">
        <v>546135</v>
      </c>
      <c r="C518">
        <v>588250</v>
      </c>
      <c r="D518">
        <v>14475</v>
      </c>
      <c r="E518">
        <v>2015</v>
      </c>
      <c r="F518">
        <v>5</v>
      </c>
      <c r="G518" t="s">
        <v>27</v>
      </c>
      <c r="H518">
        <v>2</v>
      </c>
      <c r="I518">
        <v>30</v>
      </c>
      <c r="J518" t="s">
        <v>22</v>
      </c>
      <c r="K518">
        <v>38</v>
      </c>
      <c r="L518">
        <v>-42115</v>
      </c>
      <c r="M518">
        <v>-3</v>
      </c>
      <c r="N518">
        <v>-8</v>
      </c>
      <c r="O518">
        <v>-8</v>
      </c>
    </row>
    <row r="519" spans="1:15" x14ac:dyDescent="0.3">
      <c r="A519" s="1">
        <v>42155</v>
      </c>
      <c r="B519">
        <v>264637</v>
      </c>
      <c r="C519">
        <v>284829</v>
      </c>
      <c r="D519">
        <v>7009</v>
      </c>
      <c r="E519">
        <v>2015</v>
      </c>
      <c r="F519">
        <v>5</v>
      </c>
      <c r="G519" t="s">
        <v>27</v>
      </c>
      <c r="H519">
        <v>2</v>
      </c>
      <c r="I519">
        <v>31</v>
      </c>
      <c r="J519" t="s">
        <v>23</v>
      </c>
      <c r="K519">
        <v>38</v>
      </c>
      <c r="L519">
        <v>-20191</v>
      </c>
      <c r="M519">
        <v>-3</v>
      </c>
      <c r="N519">
        <v>-8</v>
      </c>
      <c r="O519">
        <v>-8</v>
      </c>
    </row>
    <row r="520" spans="1:15" x14ac:dyDescent="0.3">
      <c r="A520" s="1">
        <v>42156</v>
      </c>
      <c r="B520">
        <v>440906</v>
      </c>
      <c r="C520">
        <v>474967</v>
      </c>
      <c r="D520">
        <v>11688</v>
      </c>
      <c r="E520">
        <v>2015</v>
      </c>
      <c r="F520">
        <v>6</v>
      </c>
      <c r="G520" t="s">
        <v>28</v>
      </c>
      <c r="H520">
        <v>2</v>
      </c>
      <c r="I520">
        <v>1</v>
      </c>
      <c r="J520" t="s">
        <v>16</v>
      </c>
      <c r="K520">
        <v>38</v>
      </c>
      <c r="L520">
        <v>-34061</v>
      </c>
      <c r="M520">
        <v>-3</v>
      </c>
      <c r="N520">
        <v>-8</v>
      </c>
      <c r="O520">
        <v>-8</v>
      </c>
    </row>
    <row r="521" spans="1:15" x14ac:dyDescent="0.3">
      <c r="A521" s="1">
        <v>42157</v>
      </c>
      <c r="B521">
        <v>334319</v>
      </c>
      <c r="C521">
        <v>360169</v>
      </c>
      <c r="D521">
        <v>8863</v>
      </c>
      <c r="E521">
        <v>2015</v>
      </c>
      <c r="F521">
        <v>6</v>
      </c>
      <c r="G521" t="s">
        <v>28</v>
      </c>
      <c r="H521">
        <v>2</v>
      </c>
      <c r="I521">
        <v>2</v>
      </c>
      <c r="J521" t="s">
        <v>17</v>
      </c>
      <c r="K521">
        <v>38</v>
      </c>
      <c r="L521">
        <v>-25850</v>
      </c>
      <c r="M521">
        <v>-3</v>
      </c>
      <c r="N521">
        <v>-8</v>
      </c>
      <c r="O521">
        <v>-8</v>
      </c>
    </row>
    <row r="522" spans="1:15" x14ac:dyDescent="0.3">
      <c r="A522" s="1">
        <v>42158</v>
      </c>
      <c r="B522">
        <v>269836</v>
      </c>
      <c r="C522">
        <v>290492</v>
      </c>
      <c r="D522">
        <v>7148</v>
      </c>
      <c r="E522">
        <v>2015</v>
      </c>
      <c r="F522">
        <v>6</v>
      </c>
      <c r="G522" t="s">
        <v>28</v>
      </c>
      <c r="H522">
        <v>2</v>
      </c>
      <c r="I522">
        <v>3</v>
      </c>
      <c r="J522" t="s">
        <v>19</v>
      </c>
      <c r="K522">
        <v>38</v>
      </c>
      <c r="L522">
        <v>-20656</v>
      </c>
      <c r="M522">
        <v>-3</v>
      </c>
      <c r="N522">
        <v>-8</v>
      </c>
      <c r="O522">
        <v>-8</v>
      </c>
    </row>
    <row r="523" spans="1:15" x14ac:dyDescent="0.3">
      <c r="A523" s="1">
        <v>42159</v>
      </c>
      <c r="B523">
        <v>201146</v>
      </c>
      <c r="C523">
        <v>216429</v>
      </c>
      <c r="D523">
        <v>5326</v>
      </c>
      <c r="E523">
        <v>2015</v>
      </c>
      <c r="F523">
        <v>6</v>
      </c>
      <c r="G523" t="s">
        <v>28</v>
      </c>
      <c r="H523">
        <v>2</v>
      </c>
      <c r="I523">
        <v>4</v>
      </c>
      <c r="J523" t="s">
        <v>20</v>
      </c>
      <c r="K523">
        <v>38</v>
      </c>
      <c r="L523">
        <v>-15282</v>
      </c>
      <c r="M523">
        <v>-3</v>
      </c>
      <c r="N523">
        <v>-8</v>
      </c>
      <c r="O523">
        <v>-8</v>
      </c>
    </row>
    <row r="524" spans="1:15" x14ac:dyDescent="0.3">
      <c r="A524" s="1">
        <v>42160</v>
      </c>
      <c r="B524">
        <v>293461</v>
      </c>
      <c r="C524">
        <v>315938</v>
      </c>
      <c r="D524">
        <v>7775</v>
      </c>
      <c r="E524">
        <v>2015</v>
      </c>
      <c r="F524">
        <v>6</v>
      </c>
      <c r="G524" t="s">
        <v>28</v>
      </c>
      <c r="H524">
        <v>2</v>
      </c>
      <c r="I524">
        <v>5</v>
      </c>
      <c r="J524" t="s">
        <v>21</v>
      </c>
      <c r="K524">
        <v>38</v>
      </c>
      <c r="L524">
        <v>-22477</v>
      </c>
      <c r="M524">
        <v>-3</v>
      </c>
      <c r="N524">
        <v>-8</v>
      </c>
      <c r="O524">
        <v>-8</v>
      </c>
    </row>
    <row r="525" spans="1:15" x14ac:dyDescent="0.3">
      <c r="A525" s="1">
        <v>42161</v>
      </c>
      <c r="B525">
        <v>349413</v>
      </c>
      <c r="C525">
        <v>376095</v>
      </c>
      <c r="D525">
        <v>9255</v>
      </c>
      <c r="E525">
        <v>2015</v>
      </c>
      <c r="F525">
        <v>6</v>
      </c>
      <c r="G525" t="s">
        <v>28</v>
      </c>
      <c r="H525">
        <v>2</v>
      </c>
      <c r="I525">
        <v>6</v>
      </c>
      <c r="J525" t="s">
        <v>22</v>
      </c>
      <c r="K525">
        <v>38</v>
      </c>
      <c r="L525">
        <v>-26682</v>
      </c>
      <c r="M525">
        <v>-3</v>
      </c>
      <c r="N525">
        <v>-8</v>
      </c>
      <c r="O525">
        <v>-8</v>
      </c>
    </row>
    <row r="526" spans="1:15" x14ac:dyDescent="0.3">
      <c r="A526" s="1">
        <v>42162</v>
      </c>
      <c r="B526">
        <v>179603</v>
      </c>
      <c r="C526">
        <v>193349</v>
      </c>
      <c r="D526">
        <v>4758</v>
      </c>
      <c r="E526">
        <v>2015</v>
      </c>
      <c r="F526">
        <v>6</v>
      </c>
      <c r="G526" t="s">
        <v>28</v>
      </c>
      <c r="H526">
        <v>2</v>
      </c>
      <c r="I526">
        <v>7</v>
      </c>
      <c r="J526" t="s">
        <v>23</v>
      </c>
      <c r="K526">
        <v>38</v>
      </c>
      <c r="L526">
        <v>-13746</v>
      </c>
      <c r="M526">
        <v>-3</v>
      </c>
      <c r="N526">
        <v>-8</v>
      </c>
      <c r="O526">
        <v>-8</v>
      </c>
    </row>
    <row r="527" spans="1:15" x14ac:dyDescent="0.3">
      <c r="A527" s="1">
        <v>42163</v>
      </c>
      <c r="B527">
        <v>109811</v>
      </c>
      <c r="C527">
        <v>106166</v>
      </c>
      <c r="D527">
        <v>2613</v>
      </c>
      <c r="E527">
        <v>2015</v>
      </c>
      <c r="F527">
        <v>6</v>
      </c>
      <c r="G527" t="s">
        <v>28</v>
      </c>
      <c r="H527">
        <v>2</v>
      </c>
      <c r="I527">
        <v>8</v>
      </c>
      <c r="J527" t="s">
        <v>16</v>
      </c>
      <c r="K527">
        <v>42</v>
      </c>
      <c r="L527">
        <v>3644</v>
      </c>
      <c r="M527">
        <v>1</v>
      </c>
      <c r="N527">
        <v>3</v>
      </c>
      <c r="O527">
        <v>3</v>
      </c>
    </row>
    <row r="528" spans="1:15" x14ac:dyDescent="0.3">
      <c r="A528" s="1">
        <v>42164</v>
      </c>
      <c r="B528">
        <v>76957</v>
      </c>
      <c r="C528">
        <v>74213</v>
      </c>
      <c r="D528">
        <v>1830</v>
      </c>
      <c r="E528">
        <v>2015</v>
      </c>
      <c r="F528">
        <v>6</v>
      </c>
      <c r="G528" t="s">
        <v>28</v>
      </c>
      <c r="H528">
        <v>2</v>
      </c>
      <c r="I528">
        <v>9</v>
      </c>
      <c r="J528" t="s">
        <v>17</v>
      </c>
      <c r="K528">
        <v>42</v>
      </c>
      <c r="L528">
        <v>2744</v>
      </c>
      <c r="M528">
        <v>1</v>
      </c>
      <c r="N528">
        <v>4</v>
      </c>
      <c r="O528">
        <v>4</v>
      </c>
    </row>
    <row r="529" spans="1:15" x14ac:dyDescent="0.3">
      <c r="A529" s="1">
        <v>42165</v>
      </c>
      <c r="B529">
        <v>71200</v>
      </c>
      <c r="C529">
        <v>68669</v>
      </c>
      <c r="D529">
        <v>1694</v>
      </c>
      <c r="E529">
        <v>2015</v>
      </c>
      <c r="F529">
        <v>6</v>
      </c>
      <c r="G529" t="s">
        <v>28</v>
      </c>
      <c r="H529">
        <v>2</v>
      </c>
      <c r="I529">
        <v>10</v>
      </c>
      <c r="J529" t="s">
        <v>19</v>
      </c>
      <c r="K529">
        <v>42</v>
      </c>
      <c r="L529">
        <v>2530</v>
      </c>
      <c r="M529">
        <v>1</v>
      </c>
      <c r="N529">
        <v>4</v>
      </c>
      <c r="O529">
        <v>4</v>
      </c>
    </row>
    <row r="530" spans="1:15" x14ac:dyDescent="0.3">
      <c r="A530" s="1">
        <v>42166</v>
      </c>
      <c r="B530">
        <v>68988</v>
      </c>
      <c r="C530">
        <v>66539</v>
      </c>
      <c r="D530">
        <v>1642</v>
      </c>
      <c r="E530">
        <v>2015</v>
      </c>
      <c r="F530">
        <v>6</v>
      </c>
      <c r="G530" t="s">
        <v>28</v>
      </c>
      <c r="H530">
        <v>2</v>
      </c>
      <c r="I530">
        <v>11</v>
      </c>
      <c r="J530" t="s">
        <v>20</v>
      </c>
      <c r="K530">
        <v>42</v>
      </c>
      <c r="L530">
        <v>2449</v>
      </c>
      <c r="M530">
        <v>1</v>
      </c>
      <c r="N530">
        <v>4</v>
      </c>
      <c r="O530">
        <v>4</v>
      </c>
    </row>
    <row r="531" spans="1:15" x14ac:dyDescent="0.3">
      <c r="A531" s="1">
        <v>42167</v>
      </c>
      <c r="B531">
        <v>155157</v>
      </c>
      <c r="C531">
        <v>149423</v>
      </c>
      <c r="D531">
        <v>3690</v>
      </c>
      <c r="E531">
        <v>2015</v>
      </c>
      <c r="F531">
        <v>6</v>
      </c>
      <c r="G531" t="s">
        <v>28</v>
      </c>
      <c r="H531">
        <v>2</v>
      </c>
      <c r="I531">
        <v>12</v>
      </c>
      <c r="J531" t="s">
        <v>21</v>
      </c>
      <c r="K531">
        <v>42</v>
      </c>
      <c r="L531">
        <v>5734</v>
      </c>
      <c r="M531">
        <v>2</v>
      </c>
      <c r="N531">
        <v>4</v>
      </c>
      <c r="O531">
        <v>4</v>
      </c>
    </row>
    <row r="532" spans="1:15" x14ac:dyDescent="0.3">
      <c r="A532" s="1">
        <v>42168</v>
      </c>
      <c r="B532">
        <v>185110</v>
      </c>
      <c r="C532">
        <v>178347</v>
      </c>
      <c r="D532">
        <v>4404</v>
      </c>
      <c r="E532">
        <v>2015</v>
      </c>
      <c r="F532">
        <v>6</v>
      </c>
      <c r="G532" t="s">
        <v>28</v>
      </c>
      <c r="H532">
        <v>2</v>
      </c>
      <c r="I532">
        <v>13</v>
      </c>
      <c r="J532" t="s">
        <v>22</v>
      </c>
      <c r="K532">
        <v>42</v>
      </c>
      <c r="L532">
        <v>6762</v>
      </c>
      <c r="M532">
        <v>2</v>
      </c>
      <c r="N532">
        <v>4</v>
      </c>
      <c r="O532">
        <v>4</v>
      </c>
    </row>
    <row r="533" spans="1:15" x14ac:dyDescent="0.3">
      <c r="A533" s="1">
        <v>42169</v>
      </c>
      <c r="B533">
        <v>83780</v>
      </c>
      <c r="C533">
        <v>80660</v>
      </c>
      <c r="D533">
        <v>1992</v>
      </c>
      <c r="E533">
        <v>2015</v>
      </c>
      <c r="F533">
        <v>6</v>
      </c>
      <c r="G533" t="s">
        <v>28</v>
      </c>
      <c r="H533">
        <v>2</v>
      </c>
      <c r="I533">
        <v>14</v>
      </c>
      <c r="J533" t="s">
        <v>23</v>
      </c>
      <c r="K533">
        <v>42</v>
      </c>
      <c r="L533">
        <v>3120</v>
      </c>
      <c r="M533">
        <v>2</v>
      </c>
      <c r="N533">
        <v>4</v>
      </c>
      <c r="O533">
        <v>4</v>
      </c>
    </row>
    <row r="534" spans="1:15" x14ac:dyDescent="0.3">
      <c r="A534" s="1">
        <v>42170</v>
      </c>
      <c r="B534">
        <v>149502</v>
      </c>
      <c r="C534">
        <v>143963</v>
      </c>
      <c r="D534">
        <v>3557</v>
      </c>
      <c r="E534">
        <v>2015</v>
      </c>
      <c r="F534">
        <v>6</v>
      </c>
      <c r="G534" t="s">
        <v>28</v>
      </c>
      <c r="H534">
        <v>2</v>
      </c>
      <c r="I534">
        <v>15</v>
      </c>
      <c r="J534" t="s">
        <v>16</v>
      </c>
      <c r="K534">
        <v>42</v>
      </c>
      <c r="L534">
        <v>5539</v>
      </c>
      <c r="M534">
        <v>2</v>
      </c>
      <c r="N534">
        <v>4</v>
      </c>
      <c r="O534">
        <v>4</v>
      </c>
    </row>
    <row r="535" spans="1:15" x14ac:dyDescent="0.3">
      <c r="A535" s="1">
        <v>42171</v>
      </c>
      <c r="B535">
        <v>100477</v>
      </c>
      <c r="C535">
        <v>96810</v>
      </c>
      <c r="D535">
        <v>2395</v>
      </c>
      <c r="E535">
        <v>2015</v>
      </c>
      <c r="F535">
        <v>6</v>
      </c>
      <c r="G535" t="s">
        <v>28</v>
      </c>
      <c r="H535">
        <v>2</v>
      </c>
      <c r="I535">
        <v>16</v>
      </c>
      <c r="J535" t="s">
        <v>17</v>
      </c>
      <c r="K535">
        <v>42</v>
      </c>
      <c r="L535">
        <v>3667</v>
      </c>
      <c r="M535">
        <v>2</v>
      </c>
      <c r="N535">
        <v>4</v>
      </c>
      <c r="O535">
        <v>4</v>
      </c>
    </row>
    <row r="536" spans="1:15" x14ac:dyDescent="0.3">
      <c r="A536" s="1">
        <v>42172</v>
      </c>
      <c r="B536">
        <v>89073</v>
      </c>
      <c r="C536">
        <v>85639</v>
      </c>
      <c r="D536">
        <v>2120</v>
      </c>
      <c r="E536">
        <v>2015</v>
      </c>
      <c r="F536">
        <v>6</v>
      </c>
      <c r="G536" t="s">
        <v>28</v>
      </c>
      <c r="H536">
        <v>2</v>
      </c>
      <c r="I536">
        <v>17</v>
      </c>
      <c r="J536" t="s">
        <v>19</v>
      </c>
      <c r="K536">
        <v>42</v>
      </c>
      <c r="L536">
        <v>3433</v>
      </c>
      <c r="M536">
        <v>2</v>
      </c>
      <c r="N536">
        <v>4</v>
      </c>
      <c r="O536">
        <v>4</v>
      </c>
    </row>
    <row r="537" spans="1:15" x14ac:dyDescent="0.3">
      <c r="A537" s="1">
        <v>42173</v>
      </c>
      <c r="B537">
        <v>78747</v>
      </c>
      <c r="C537">
        <v>75674</v>
      </c>
      <c r="D537">
        <v>1875</v>
      </c>
      <c r="E537">
        <v>2015</v>
      </c>
      <c r="F537">
        <v>6</v>
      </c>
      <c r="G537" t="s">
        <v>28</v>
      </c>
      <c r="H537">
        <v>2</v>
      </c>
      <c r="I537">
        <v>18</v>
      </c>
      <c r="J537" t="s">
        <v>20</v>
      </c>
      <c r="K537">
        <v>42</v>
      </c>
      <c r="L537">
        <v>3073</v>
      </c>
      <c r="M537">
        <v>2</v>
      </c>
      <c r="N537">
        <v>4</v>
      </c>
      <c r="O537">
        <v>4</v>
      </c>
    </row>
    <row r="538" spans="1:15" x14ac:dyDescent="0.3">
      <c r="A538" s="1">
        <v>42174</v>
      </c>
      <c r="B538">
        <v>141913</v>
      </c>
      <c r="C538">
        <v>136018</v>
      </c>
      <c r="D538">
        <v>3376</v>
      </c>
      <c r="E538">
        <v>2015</v>
      </c>
      <c r="F538">
        <v>6</v>
      </c>
      <c r="G538" t="s">
        <v>28</v>
      </c>
      <c r="H538">
        <v>2</v>
      </c>
      <c r="I538">
        <v>19</v>
      </c>
      <c r="J538" t="s">
        <v>21</v>
      </c>
      <c r="K538">
        <v>42</v>
      </c>
      <c r="L538">
        <v>5896</v>
      </c>
      <c r="M538">
        <v>2</v>
      </c>
      <c r="N538">
        <v>4</v>
      </c>
      <c r="O538">
        <v>4</v>
      </c>
    </row>
    <row r="539" spans="1:15" x14ac:dyDescent="0.3">
      <c r="A539" s="1">
        <v>42175</v>
      </c>
      <c r="B539">
        <v>169304</v>
      </c>
      <c r="C539">
        <v>162288</v>
      </c>
      <c r="D539">
        <v>4027</v>
      </c>
      <c r="E539">
        <v>2015</v>
      </c>
      <c r="F539">
        <v>6</v>
      </c>
      <c r="G539" t="s">
        <v>28</v>
      </c>
      <c r="H539">
        <v>2</v>
      </c>
      <c r="I539">
        <v>20</v>
      </c>
      <c r="J539" t="s">
        <v>22</v>
      </c>
      <c r="K539">
        <v>42</v>
      </c>
      <c r="L539">
        <v>7016</v>
      </c>
      <c r="M539">
        <v>2</v>
      </c>
      <c r="N539">
        <v>4</v>
      </c>
      <c r="O539">
        <v>4</v>
      </c>
    </row>
    <row r="540" spans="1:15" x14ac:dyDescent="0.3">
      <c r="A540" s="1">
        <v>42176</v>
      </c>
      <c r="B540">
        <v>89512</v>
      </c>
      <c r="C540">
        <v>85782</v>
      </c>
      <c r="D540">
        <v>2128</v>
      </c>
      <c r="E540">
        <v>2015</v>
      </c>
      <c r="F540">
        <v>6</v>
      </c>
      <c r="G540" t="s">
        <v>28</v>
      </c>
      <c r="H540">
        <v>2</v>
      </c>
      <c r="I540">
        <v>21</v>
      </c>
      <c r="J540" t="s">
        <v>23</v>
      </c>
      <c r="K540">
        <v>42</v>
      </c>
      <c r="L540">
        <v>3730</v>
      </c>
      <c r="M540">
        <v>2</v>
      </c>
      <c r="N540">
        <v>4</v>
      </c>
      <c r="O540">
        <v>4</v>
      </c>
    </row>
    <row r="541" spans="1:15" x14ac:dyDescent="0.3">
      <c r="A541" s="1">
        <v>42177</v>
      </c>
      <c r="B541">
        <v>85984</v>
      </c>
      <c r="C541">
        <v>82427</v>
      </c>
      <c r="D541">
        <v>2046</v>
      </c>
      <c r="E541">
        <v>2015</v>
      </c>
      <c r="F541">
        <v>6</v>
      </c>
      <c r="G541" t="s">
        <v>28</v>
      </c>
      <c r="H541">
        <v>2</v>
      </c>
      <c r="I541">
        <v>22</v>
      </c>
      <c r="J541" t="s">
        <v>16</v>
      </c>
      <c r="K541">
        <v>42</v>
      </c>
      <c r="L541">
        <v>3557</v>
      </c>
      <c r="M541">
        <v>2</v>
      </c>
      <c r="N541">
        <v>4</v>
      </c>
      <c r="O541">
        <v>4</v>
      </c>
    </row>
    <row r="542" spans="1:15" x14ac:dyDescent="0.3">
      <c r="A542" s="1">
        <v>42178</v>
      </c>
      <c r="B542">
        <v>64956</v>
      </c>
      <c r="C542">
        <v>62170</v>
      </c>
      <c r="D542">
        <v>1546</v>
      </c>
      <c r="E542">
        <v>2015</v>
      </c>
      <c r="F542">
        <v>6</v>
      </c>
      <c r="G542" t="s">
        <v>28</v>
      </c>
      <c r="H542">
        <v>2</v>
      </c>
      <c r="I542">
        <v>23</v>
      </c>
      <c r="J542" t="s">
        <v>17</v>
      </c>
      <c r="K542">
        <v>42</v>
      </c>
      <c r="L542">
        <v>2787</v>
      </c>
      <c r="M542">
        <v>2</v>
      </c>
      <c r="N542">
        <v>4</v>
      </c>
      <c r="O542">
        <v>4</v>
      </c>
    </row>
    <row r="543" spans="1:15" x14ac:dyDescent="0.3">
      <c r="A543" s="1">
        <v>42179</v>
      </c>
      <c r="B543">
        <v>106613</v>
      </c>
      <c r="C543">
        <v>113428</v>
      </c>
      <c r="D543">
        <v>2822</v>
      </c>
      <c r="E543">
        <v>2015</v>
      </c>
      <c r="F543">
        <v>6</v>
      </c>
      <c r="G543" t="s">
        <v>28</v>
      </c>
      <c r="H543">
        <v>2</v>
      </c>
      <c r="I543">
        <v>24</v>
      </c>
      <c r="J543" t="s">
        <v>19</v>
      </c>
      <c r="K543">
        <v>38</v>
      </c>
      <c r="L543">
        <v>-6815</v>
      </c>
      <c r="M543">
        <v>-2</v>
      </c>
      <c r="N543">
        <v>-6</v>
      </c>
      <c r="O543">
        <v>-6</v>
      </c>
    </row>
    <row r="544" spans="1:15" x14ac:dyDescent="0.3">
      <c r="A544" s="1">
        <v>42180</v>
      </c>
      <c r="B544">
        <v>183844</v>
      </c>
      <c r="C544">
        <v>195366</v>
      </c>
      <c r="D544">
        <v>4865</v>
      </c>
      <c r="E544">
        <v>2015</v>
      </c>
      <c r="F544">
        <v>6</v>
      </c>
      <c r="G544" t="s">
        <v>28</v>
      </c>
      <c r="H544">
        <v>2</v>
      </c>
      <c r="I544">
        <v>25</v>
      </c>
      <c r="J544" t="s">
        <v>20</v>
      </c>
      <c r="K544">
        <v>38</v>
      </c>
      <c r="L544">
        <v>-11522</v>
      </c>
      <c r="M544">
        <v>-2</v>
      </c>
      <c r="N544">
        <v>-6</v>
      </c>
      <c r="O544">
        <v>-6</v>
      </c>
    </row>
    <row r="545" spans="1:15" x14ac:dyDescent="0.3">
      <c r="A545" s="1">
        <v>42181</v>
      </c>
      <c r="B545">
        <v>319580</v>
      </c>
      <c r="C545">
        <v>339242</v>
      </c>
      <c r="D545">
        <v>8450</v>
      </c>
      <c r="E545">
        <v>2015</v>
      </c>
      <c r="F545">
        <v>6</v>
      </c>
      <c r="G545" t="s">
        <v>28</v>
      </c>
      <c r="H545">
        <v>2</v>
      </c>
      <c r="I545">
        <v>26</v>
      </c>
      <c r="J545" t="s">
        <v>21</v>
      </c>
      <c r="K545">
        <v>38</v>
      </c>
      <c r="L545">
        <v>-19662</v>
      </c>
      <c r="M545">
        <v>-2</v>
      </c>
      <c r="N545">
        <v>-6</v>
      </c>
      <c r="O545">
        <v>-6</v>
      </c>
    </row>
    <row r="546" spans="1:15" x14ac:dyDescent="0.3">
      <c r="A546" s="1">
        <v>42182</v>
      </c>
      <c r="B546">
        <v>369246</v>
      </c>
      <c r="C546">
        <v>392018</v>
      </c>
      <c r="D546">
        <v>9770</v>
      </c>
      <c r="E546">
        <v>2015</v>
      </c>
      <c r="F546">
        <v>6</v>
      </c>
      <c r="G546" t="s">
        <v>28</v>
      </c>
      <c r="H546">
        <v>2</v>
      </c>
      <c r="I546">
        <v>27</v>
      </c>
      <c r="J546" t="s">
        <v>22</v>
      </c>
      <c r="K546">
        <v>38</v>
      </c>
      <c r="L546">
        <v>-22772</v>
      </c>
      <c r="M546">
        <v>-2</v>
      </c>
      <c r="N546">
        <v>-6</v>
      </c>
      <c r="O546">
        <v>-6</v>
      </c>
    </row>
    <row r="547" spans="1:15" x14ac:dyDescent="0.3">
      <c r="A547" s="1">
        <v>42183</v>
      </c>
      <c r="B547">
        <v>185648</v>
      </c>
      <c r="C547">
        <v>197095</v>
      </c>
      <c r="D547">
        <v>4914</v>
      </c>
      <c r="E547">
        <v>2015</v>
      </c>
      <c r="F547">
        <v>6</v>
      </c>
      <c r="G547" t="s">
        <v>28</v>
      </c>
      <c r="H547">
        <v>2</v>
      </c>
      <c r="I547">
        <v>28</v>
      </c>
      <c r="J547" t="s">
        <v>23</v>
      </c>
      <c r="K547">
        <v>38</v>
      </c>
      <c r="L547">
        <v>-11447</v>
      </c>
      <c r="M547">
        <v>-2</v>
      </c>
      <c r="N547">
        <v>-6</v>
      </c>
      <c r="O547">
        <v>-6</v>
      </c>
    </row>
    <row r="548" spans="1:15" x14ac:dyDescent="0.3">
      <c r="A548" s="1">
        <v>42184</v>
      </c>
      <c r="B548">
        <v>165558</v>
      </c>
      <c r="C548">
        <v>175871</v>
      </c>
      <c r="D548">
        <v>4385</v>
      </c>
      <c r="E548">
        <v>2015</v>
      </c>
      <c r="F548">
        <v>6</v>
      </c>
      <c r="G548" t="s">
        <v>28</v>
      </c>
      <c r="H548">
        <v>2</v>
      </c>
      <c r="I548">
        <v>29</v>
      </c>
      <c r="J548" t="s">
        <v>16</v>
      </c>
      <c r="K548">
        <v>38</v>
      </c>
      <c r="L548">
        <v>-10313</v>
      </c>
      <c r="M548">
        <v>-2</v>
      </c>
      <c r="N548">
        <v>-6</v>
      </c>
      <c r="O548">
        <v>-6</v>
      </c>
    </row>
    <row r="549" spans="1:15" x14ac:dyDescent="0.3">
      <c r="A549" s="1">
        <v>42185</v>
      </c>
      <c r="B549">
        <v>212465</v>
      </c>
      <c r="C549">
        <v>225679</v>
      </c>
      <c r="D549">
        <v>5627</v>
      </c>
      <c r="E549">
        <v>2015</v>
      </c>
      <c r="F549">
        <v>6</v>
      </c>
      <c r="G549" t="s">
        <v>28</v>
      </c>
      <c r="H549">
        <v>2</v>
      </c>
      <c r="I549">
        <v>30</v>
      </c>
      <c r="J549" t="s">
        <v>17</v>
      </c>
      <c r="K549">
        <v>38</v>
      </c>
      <c r="L549">
        <v>-13214</v>
      </c>
      <c r="M549">
        <v>-2</v>
      </c>
      <c r="N549">
        <v>-6</v>
      </c>
      <c r="O549">
        <v>-6</v>
      </c>
    </row>
    <row r="550" spans="1:15" x14ac:dyDescent="0.3">
      <c r="A550" s="1">
        <v>42186</v>
      </c>
      <c r="B550">
        <v>305232</v>
      </c>
      <c r="C550">
        <v>324249</v>
      </c>
      <c r="D550">
        <v>8086</v>
      </c>
      <c r="E550">
        <v>2015</v>
      </c>
      <c r="F550">
        <v>7</v>
      </c>
      <c r="G550" t="s">
        <v>29</v>
      </c>
      <c r="H550">
        <v>3</v>
      </c>
      <c r="I550">
        <v>1</v>
      </c>
      <c r="J550" t="s">
        <v>19</v>
      </c>
      <c r="K550">
        <v>38</v>
      </c>
      <c r="L550">
        <v>-19017</v>
      </c>
      <c r="M550">
        <v>-2</v>
      </c>
      <c r="N550">
        <v>-6</v>
      </c>
      <c r="O550">
        <v>-6</v>
      </c>
    </row>
    <row r="551" spans="1:15" x14ac:dyDescent="0.3">
      <c r="A551" s="1">
        <v>42187</v>
      </c>
      <c r="B551">
        <v>250482</v>
      </c>
      <c r="C551">
        <v>266062</v>
      </c>
      <c r="D551">
        <v>6639</v>
      </c>
      <c r="E551">
        <v>2015</v>
      </c>
      <c r="F551">
        <v>7</v>
      </c>
      <c r="G551" t="s">
        <v>29</v>
      </c>
      <c r="H551">
        <v>3</v>
      </c>
      <c r="I551">
        <v>2</v>
      </c>
      <c r="J551" t="s">
        <v>20</v>
      </c>
      <c r="K551">
        <v>38</v>
      </c>
      <c r="L551">
        <v>-15580</v>
      </c>
      <c r="M551">
        <v>-2</v>
      </c>
      <c r="N551">
        <v>-6</v>
      </c>
      <c r="O551">
        <v>-6</v>
      </c>
    </row>
    <row r="552" spans="1:15" x14ac:dyDescent="0.3">
      <c r="A552" s="1">
        <v>42188</v>
      </c>
      <c r="B552">
        <v>268410</v>
      </c>
      <c r="C552">
        <v>284593</v>
      </c>
      <c r="D552">
        <v>7104</v>
      </c>
      <c r="E552">
        <v>2015</v>
      </c>
      <c r="F552">
        <v>7</v>
      </c>
      <c r="G552" t="s">
        <v>29</v>
      </c>
      <c r="H552">
        <v>3</v>
      </c>
      <c r="I552">
        <v>3</v>
      </c>
      <c r="J552" t="s">
        <v>21</v>
      </c>
      <c r="K552">
        <v>38</v>
      </c>
      <c r="L552">
        <v>-16183</v>
      </c>
      <c r="M552">
        <v>-2</v>
      </c>
      <c r="N552">
        <v>-6</v>
      </c>
      <c r="O552">
        <v>-6</v>
      </c>
    </row>
    <row r="553" spans="1:15" x14ac:dyDescent="0.3">
      <c r="A553" s="1">
        <v>42189</v>
      </c>
      <c r="B553">
        <v>316365</v>
      </c>
      <c r="C553">
        <v>335025</v>
      </c>
      <c r="D553">
        <v>8364</v>
      </c>
      <c r="E553">
        <v>2015</v>
      </c>
      <c r="F553">
        <v>7</v>
      </c>
      <c r="G553" t="s">
        <v>29</v>
      </c>
      <c r="H553">
        <v>3</v>
      </c>
      <c r="I553">
        <v>4</v>
      </c>
      <c r="J553" t="s">
        <v>22</v>
      </c>
      <c r="K553">
        <v>38</v>
      </c>
      <c r="L553">
        <v>-18660</v>
      </c>
      <c r="M553">
        <v>-2</v>
      </c>
      <c r="N553">
        <v>-6</v>
      </c>
      <c r="O553">
        <v>-6</v>
      </c>
    </row>
    <row r="554" spans="1:15" x14ac:dyDescent="0.3">
      <c r="A554" s="1">
        <v>42190</v>
      </c>
      <c r="B554">
        <v>156873</v>
      </c>
      <c r="C554">
        <v>165969</v>
      </c>
      <c r="D554">
        <v>4146</v>
      </c>
      <c r="E554">
        <v>2015</v>
      </c>
      <c r="F554">
        <v>7</v>
      </c>
      <c r="G554" t="s">
        <v>29</v>
      </c>
      <c r="H554">
        <v>3</v>
      </c>
      <c r="I554">
        <v>5</v>
      </c>
      <c r="J554" t="s">
        <v>23</v>
      </c>
      <c r="K554">
        <v>38</v>
      </c>
      <c r="L554">
        <v>-9096</v>
      </c>
      <c r="M554">
        <v>-2</v>
      </c>
      <c r="N554">
        <v>-6</v>
      </c>
      <c r="O554">
        <v>-6</v>
      </c>
    </row>
    <row r="555" spans="1:15" x14ac:dyDescent="0.3">
      <c r="A555" s="1">
        <v>42191</v>
      </c>
      <c r="B555">
        <v>173988</v>
      </c>
      <c r="C555">
        <v>184189</v>
      </c>
      <c r="D555">
        <v>4601</v>
      </c>
      <c r="E555">
        <v>2015</v>
      </c>
      <c r="F555">
        <v>7</v>
      </c>
      <c r="G555" t="s">
        <v>29</v>
      </c>
      <c r="H555">
        <v>3</v>
      </c>
      <c r="I555">
        <v>6</v>
      </c>
      <c r="J555" t="s">
        <v>16</v>
      </c>
      <c r="K555">
        <v>38</v>
      </c>
      <c r="L555">
        <v>-10201</v>
      </c>
      <c r="M555">
        <v>-2</v>
      </c>
      <c r="N555">
        <v>-6</v>
      </c>
      <c r="O555">
        <v>-6</v>
      </c>
    </row>
    <row r="556" spans="1:15" x14ac:dyDescent="0.3">
      <c r="A556" s="1">
        <v>42192</v>
      </c>
      <c r="B556">
        <v>135754</v>
      </c>
      <c r="C556">
        <v>143800</v>
      </c>
      <c r="D556">
        <v>3593</v>
      </c>
      <c r="E556">
        <v>2015</v>
      </c>
      <c r="F556">
        <v>7</v>
      </c>
      <c r="G556" t="s">
        <v>29</v>
      </c>
      <c r="H556">
        <v>3</v>
      </c>
      <c r="I556">
        <v>7</v>
      </c>
      <c r="J556" t="s">
        <v>17</v>
      </c>
      <c r="K556">
        <v>38</v>
      </c>
      <c r="L556">
        <v>-8046</v>
      </c>
      <c r="M556">
        <v>-2</v>
      </c>
      <c r="N556">
        <v>-6</v>
      </c>
      <c r="O556">
        <v>-6</v>
      </c>
    </row>
    <row r="557" spans="1:15" x14ac:dyDescent="0.3">
      <c r="A557" s="1">
        <v>42193</v>
      </c>
      <c r="B557">
        <v>84427</v>
      </c>
      <c r="C557">
        <v>84589</v>
      </c>
      <c r="D557">
        <v>2114</v>
      </c>
      <c r="E557">
        <v>2015</v>
      </c>
      <c r="F557">
        <v>7</v>
      </c>
      <c r="G557" t="s">
        <v>29</v>
      </c>
      <c r="H557">
        <v>3</v>
      </c>
      <c r="I557">
        <v>8</v>
      </c>
      <c r="J557" t="s">
        <v>19</v>
      </c>
      <c r="K557">
        <v>40</v>
      </c>
      <c r="L557">
        <v>-162</v>
      </c>
      <c r="M557">
        <v>0</v>
      </c>
      <c r="N557">
        <v>0</v>
      </c>
      <c r="O557">
        <v>0</v>
      </c>
    </row>
    <row r="558" spans="1:15" x14ac:dyDescent="0.3">
      <c r="A558" s="1">
        <v>42194</v>
      </c>
      <c r="B558">
        <v>70815</v>
      </c>
      <c r="C558">
        <v>71913</v>
      </c>
      <c r="D558">
        <v>1797</v>
      </c>
      <c r="E558">
        <v>2015</v>
      </c>
      <c r="F558">
        <v>7</v>
      </c>
      <c r="G558" t="s">
        <v>29</v>
      </c>
      <c r="H558">
        <v>3</v>
      </c>
      <c r="I558">
        <v>9</v>
      </c>
      <c r="J558" t="s">
        <v>20</v>
      </c>
      <c r="K558">
        <v>39</v>
      </c>
      <c r="L558">
        <v>-1098</v>
      </c>
      <c r="M558">
        <v>-1</v>
      </c>
      <c r="N558">
        <v>-2</v>
      </c>
      <c r="O558">
        <v>-2</v>
      </c>
    </row>
    <row r="559" spans="1:15" x14ac:dyDescent="0.3">
      <c r="A559" s="1">
        <v>42195</v>
      </c>
      <c r="B559">
        <v>125983</v>
      </c>
      <c r="C559">
        <v>127885</v>
      </c>
      <c r="D559">
        <v>3195</v>
      </c>
      <c r="E559">
        <v>2015</v>
      </c>
      <c r="F559">
        <v>7</v>
      </c>
      <c r="G559" t="s">
        <v>29</v>
      </c>
      <c r="H559">
        <v>3</v>
      </c>
      <c r="I559">
        <v>10</v>
      </c>
      <c r="J559" t="s">
        <v>21</v>
      </c>
      <c r="K559">
        <v>39</v>
      </c>
      <c r="L559">
        <v>-1901</v>
      </c>
      <c r="M559">
        <v>-1</v>
      </c>
      <c r="N559">
        <v>-2</v>
      </c>
      <c r="O559">
        <v>-2</v>
      </c>
    </row>
    <row r="560" spans="1:15" x14ac:dyDescent="0.3">
      <c r="A560" s="1">
        <v>42196</v>
      </c>
      <c r="B560">
        <v>142378</v>
      </c>
      <c r="C560">
        <v>143925</v>
      </c>
      <c r="D560">
        <v>3595</v>
      </c>
      <c r="E560">
        <v>2015</v>
      </c>
      <c r="F560">
        <v>7</v>
      </c>
      <c r="G560" t="s">
        <v>29</v>
      </c>
      <c r="H560">
        <v>3</v>
      </c>
      <c r="I560">
        <v>11</v>
      </c>
      <c r="J560" t="s">
        <v>22</v>
      </c>
      <c r="K560">
        <v>40</v>
      </c>
      <c r="L560">
        <v>-1546</v>
      </c>
      <c r="M560">
        <v>0</v>
      </c>
      <c r="N560">
        <v>-1</v>
      </c>
      <c r="O560">
        <v>-1</v>
      </c>
    </row>
    <row r="561" spans="1:15" x14ac:dyDescent="0.3">
      <c r="A561" s="1">
        <v>42197</v>
      </c>
      <c r="B561">
        <v>57428</v>
      </c>
      <c r="C561">
        <v>58723</v>
      </c>
      <c r="D561">
        <v>1467</v>
      </c>
      <c r="E561">
        <v>2015</v>
      </c>
      <c r="F561">
        <v>7</v>
      </c>
      <c r="G561" t="s">
        <v>29</v>
      </c>
      <c r="H561">
        <v>3</v>
      </c>
      <c r="I561">
        <v>12</v>
      </c>
      <c r="J561" t="s">
        <v>23</v>
      </c>
      <c r="K561">
        <v>39</v>
      </c>
      <c r="L561">
        <v>-1295</v>
      </c>
      <c r="M561">
        <v>-1</v>
      </c>
      <c r="N561">
        <v>-2</v>
      </c>
      <c r="O561">
        <v>-2</v>
      </c>
    </row>
    <row r="562" spans="1:15" x14ac:dyDescent="0.3">
      <c r="A562" s="1">
        <v>42198</v>
      </c>
      <c r="B562">
        <v>63331</v>
      </c>
      <c r="C562">
        <v>64690</v>
      </c>
      <c r="D562">
        <v>1610</v>
      </c>
      <c r="E562">
        <v>2015</v>
      </c>
      <c r="F562">
        <v>7</v>
      </c>
      <c r="G562" t="s">
        <v>29</v>
      </c>
      <c r="H562">
        <v>3</v>
      </c>
      <c r="I562">
        <v>13</v>
      </c>
      <c r="J562" t="s">
        <v>16</v>
      </c>
      <c r="K562">
        <v>39</v>
      </c>
      <c r="L562">
        <v>-1359</v>
      </c>
      <c r="M562">
        <v>-1</v>
      </c>
      <c r="N562">
        <v>-2</v>
      </c>
      <c r="O562">
        <v>-2</v>
      </c>
    </row>
    <row r="563" spans="1:15" x14ac:dyDescent="0.3">
      <c r="A563" s="1">
        <v>42199</v>
      </c>
      <c r="B563">
        <v>51241</v>
      </c>
      <c r="C563">
        <v>52510</v>
      </c>
      <c r="D563">
        <v>1307</v>
      </c>
      <c r="E563">
        <v>2015</v>
      </c>
      <c r="F563">
        <v>7</v>
      </c>
      <c r="G563" t="s">
        <v>29</v>
      </c>
      <c r="H563">
        <v>3</v>
      </c>
      <c r="I563">
        <v>14</v>
      </c>
      <c r="J563" t="s">
        <v>17</v>
      </c>
      <c r="K563">
        <v>39</v>
      </c>
      <c r="L563">
        <v>-1269</v>
      </c>
      <c r="M563">
        <v>-1</v>
      </c>
      <c r="N563">
        <v>-2</v>
      </c>
      <c r="O563">
        <v>-2</v>
      </c>
    </row>
    <row r="564" spans="1:15" x14ac:dyDescent="0.3">
      <c r="A564" s="1">
        <v>42200</v>
      </c>
      <c r="B564">
        <v>80326</v>
      </c>
      <c r="C564">
        <v>81730</v>
      </c>
      <c r="D564">
        <v>2050</v>
      </c>
      <c r="E564">
        <v>2015</v>
      </c>
      <c r="F564">
        <v>7</v>
      </c>
      <c r="G564" t="s">
        <v>29</v>
      </c>
      <c r="H564">
        <v>3</v>
      </c>
      <c r="I564">
        <v>15</v>
      </c>
      <c r="J564" t="s">
        <v>19</v>
      </c>
      <c r="K564">
        <v>39</v>
      </c>
      <c r="L564">
        <v>-1404</v>
      </c>
      <c r="M564">
        <v>-1</v>
      </c>
      <c r="N564">
        <v>-2</v>
      </c>
      <c r="O564">
        <v>-2</v>
      </c>
    </row>
    <row r="565" spans="1:15" x14ac:dyDescent="0.3">
      <c r="A565" s="1">
        <v>42201</v>
      </c>
      <c r="B565">
        <v>71913</v>
      </c>
      <c r="C565">
        <v>73763</v>
      </c>
      <c r="D565">
        <v>1849</v>
      </c>
      <c r="E565">
        <v>2015</v>
      </c>
      <c r="F565">
        <v>7</v>
      </c>
      <c r="G565" t="s">
        <v>29</v>
      </c>
      <c r="H565">
        <v>3</v>
      </c>
      <c r="I565">
        <v>16</v>
      </c>
      <c r="J565" t="s">
        <v>20</v>
      </c>
      <c r="K565">
        <v>39</v>
      </c>
      <c r="L565">
        <v>-1850</v>
      </c>
      <c r="M565">
        <v>-1</v>
      </c>
      <c r="N565">
        <v>-3</v>
      </c>
      <c r="O565">
        <v>-3</v>
      </c>
    </row>
    <row r="566" spans="1:15" x14ac:dyDescent="0.3">
      <c r="A566" s="1">
        <v>42202</v>
      </c>
      <c r="B566">
        <v>119204</v>
      </c>
      <c r="C566">
        <v>122670</v>
      </c>
      <c r="D566">
        <v>3070</v>
      </c>
      <c r="E566">
        <v>2015</v>
      </c>
      <c r="F566">
        <v>7</v>
      </c>
      <c r="G566" t="s">
        <v>29</v>
      </c>
      <c r="H566">
        <v>3</v>
      </c>
      <c r="I566">
        <v>17</v>
      </c>
      <c r="J566" t="s">
        <v>21</v>
      </c>
      <c r="K566">
        <v>39</v>
      </c>
      <c r="L566">
        <v>-3465</v>
      </c>
      <c r="M566">
        <v>-1</v>
      </c>
      <c r="N566">
        <v>-3</v>
      </c>
      <c r="O566">
        <v>-3</v>
      </c>
    </row>
    <row r="567" spans="1:15" x14ac:dyDescent="0.3">
      <c r="A567" s="1">
        <v>42203</v>
      </c>
      <c r="B567">
        <v>129441</v>
      </c>
      <c r="C567">
        <v>132493</v>
      </c>
      <c r="D567">
        <v>3322</v>
      </c>
      <c r="E567">
        <v>2015</v>
      </c>
      <c r="F567">
        <v>7</v>
      </c>
      <c r="G567" t="s">
        <v>29</v>
      </c>
      <c r="H567">
        <v>3</v>
      </c>
      <c r="I567">
        <v>18</v>
      </c>
      <c r="J567" t="s">
        <v>22</v>
      </c>
      <c r="K567">
        <v>39</v>
      </c>
      <c r="L567">
        <v>-3052</v>
      </c>
      <c r="M567">
        <v>-1</v>
      </c>
      <c r="N567">
        <v>-2</v>
      </c>
      <c r="O567">
        <v>-2</v>
      </c>
    </row>
    <row r="568" spans="1:15" x14ac:dyDescent="0.3">
      <c r="A568" s="1">
        <v>42204</v>
      </c>
      <c r="B568">
        <v>77646</v>
      </c>
      <c r="C568">
        <v>79556</v>
      </c>
      <c r="D568">
        <v>1982</v>
      </c>
      <c r="E568">
        <v>2015</v>
      </c>
      <c r="F568">
        <v>7</v>
      </c>
      <c r="G568" t="s">
        <v>29</v>
      </c>
      <c r="H568">
        <v>3</v>
      </c>
      <c r="I568">
        <v>19</v>
      </c>
      <c r="J568" t="s">
        <v>23</v>
      </c>
      <c r="K568">
        <v>39</v>
      </c>
      <c r="L568">
        <v>-1910</v>
      </c>
      <c r="M568">
        <v>-1</v>
      </c>
      <c r="N568">
        <v>-2</v>
      </c>
      <c r="O568">
        <v>-2</v>
      </c>
    </row>
    <row r="569" spans="1:15" x14ac:dyDescent="0.3">
      <c r="A569" s="1">
        <v>42205</v>
      </c>
      <c r="B569">
        <v>69927</v>
      </c>
      <c r="C569">
        <v>71363</v>
      </c>
      <c r="D569">
        <v>1787</v>
      </c>
      <c r="E569">
        <v>2015</v>
      </c>
      <c r="F569">
        <v>7</v>
      </c>
      <c r="G569" t="s">
        <v>29</v>
      </c>
      <c r="H569">
        <v>3</v>
      </c>
      <c r="I569">
        <v>20</v>
      </c>
      <c r="J569" t="s">
        <v>16</v>
      </c>
      <c r="K569">
        <v>39</v>
      </c>
      <c r="L569">
        <v>-1436</v>
      </c>
      <c r="M569">
        <v>-1</v>
      </c>
      <c r="N569">
        <v>-2</v>
      </c>
      <c r="O569">
        <v>-2</v>
      </c>
    </row>
    <row r="570" spans="1:15" x14ac:dyDescent="0.3">
      <c r="A570" s="1">
        <v>42206</v>
      </c>
      <c r="B570">
        <v>71973</v>
      </c>
      <c r="C570">
        <v>73852</v>
      </c>
      <c r="D570">
        <v>1846</v>
      </c>
      <c r="E570">
        <v>2015</v>
      </c>
      <c r="F570">
        <v>7</v>
      </c>
      <c r="G570" t="s">
        <v>29</v>
      </c>
      <c r="H570">
        <v>3</v>
      </c>
      <c r="I570">
        <v>21</v>
      </c>
      <c r="J570" t="s">
        <v>17</v>
      </c>
      <c r="K570">
        <v>39</v>
      </c>
      <c r="L570">
        <v>-1879</v>
      </c>
      <c r="M570">
        <v>-1</v>
      </c>
      <c r="N570">
        <v>-3</v>
      </c>
      <c r="O570">
        <v>-3</v>
      </c>
    </row>
    <row r="571" spans="1:15" x14ac:dyDescent="0.3">
      <c r="A571" s="1">
        <v>42207</v>
      </c>
      <c r="B571">
        <v>44305</v>
      </c>
      <c r="C571">
        <v>45469</v>
      </c>
      <c r="D571">
        <v>1142</v>
      </c>
      <c r="E571">
        <v>2015</v>
      </c>
      <c r="F571">
        <v>7</v>
      </c>
      <c r="G571" t="s">
        <v>29</v>
      </c>
      <c r="H571">
        <v>3</v>
      </c>
      <c r="I571">
        <v>22</v>
      </c>
      <c r="J571" t="s">
        <v>19</v>
      </c>
      <c r="K571">
        <v>39</v>
      </c>
      <c r="L571">
        <v>-1164</v>
      </c>
      <c r="M571">
        <v>-1</v>
      </c>
      <c r="N571">
        <v>-3</v>
      </c>
      <c r="O571">
        <v>-3</v>
      </c>
    </row>
    <row r="572" spans="1:15" x14ac:dyDescent="0.3">
      <c r="A572" s="1">
        <v>42208</v>
      </c>
      <c r="B572">
        <v>66800</v>
      </c>
      <c r="C572">
        <v>69324</v>
      </c>
      <c r="D572">
        <v>1734</v>
      </c>
      <c r="E572">
        <v>2015</v>
      </c>
      <c r="F572">
        <v>7</v>
      </c>
      <c r="G572" t="s">
        <v>29</v>
      </c>
      <c r="H572">
        <v>3</v>
      </c>
      <c r="I572">
        <v>23</v>
      </c>
      <c r="J572" t="s">
        <v>20</v>
      </c>
      <c r="K572">
        <v>39</v>
      </c>
      <c r="L572">
        <v>-2524</v>
      </c>
      <c r="M572">
        <v>-1</v>
      </c>
      <c r="N572">
        <v>-4</v>
      </c>
      <c r="O572">
        <v>-4</v>
      </c>
    </row>
    <row r="573" spans="1:15" x14ac:dyDescent="0.3">
      <c r="A573" s="1">
        <v>42209</v>
      </c>
      <c r="B573">
        <v>125690</v>
      </c>
      <c r="C573">
        <v>130428</v>
      </c>
      <c r="D573">
        <v>3259</v>
      </c>
      <c r="E573">
        <v>2015</v>
      </c>
      <c r="F573">
        <v>7</v>
      </c>
      <c r="G573" t="s">
        <v>29</v>
      </c>
      <c r="H573">
        <v>3</v>
      </c>
      <c r="I573">
        <v>24</v>
      </c>
      <c r="J573" t="s">
        <v>21</v>
      </c>
      <c r="K573">
        <v>39</v>
      </c>
      <c r="L573">
        <v>-4739</v>
      </c>
      <c r="M573">
        <v>-1</v>
      </c>
      <c r="N573">
        <v>-4</v>
      </c>
      <c r="O573">
        <v>-4</v>
      </c>
    </row>
    <row r="574" spans="1:15" x14ac:dyDescent="0.3">
      <c r="A574" s="1">
        <v>42210</v>
      </c>
      <c r="B574">
        <v>138625</v>
      </c>
      <c r="C574">
        <v>143537</v>
      </c>
      <c r="D574">
        <v>3572</v>
      </c>
      <c r="E574">
        <v>2015</v>
      </c>
      <c r="F574">
        <v>7</v>
      </c>
      <c r="G574" t="s">
        <v>29</v>
      </c>
      <c r="H574">
        <v>3</v>
      </c>
      <c r="I574">
        <v>25</v>
      </c>
      <c r="J574" t="s">
        <v>22</v>
      </c>
      <c r="K574">
        <v>39</v>
      </c>
      <c r="L574">
        <v>-4912</v>
      </c>
      <c r="M574">
        <v>-1</v>
      </c>
      <c r="N574">
        <v>-4</v>
      </c>
      <c r="O574">
        <v>-4</v>
      </c>
    </row>
    <row r="575" spans="1:15" x14ac:dyDescent="0.3">
      <c r="A575" s="1">
        <v>42211</v>
      </c>
      <c r="B575">
        <v>81715</v>
      </c>
      <c r="C575">
        <v>85089</v>
      </c>
      <c r="D575">
        <v>2109</v>
      </c>
      <c r="E575">
        <v>2015</v>
      </c>
      <c r="F575">
        <v>7</v>
      </c>
      <c r="G575" t="s">
        <v>29</v>
      </c>
      <c r="H575">
        <v>3</v>
      </c>
      <c r="I575">
        <v>26</v>
      </c>
      <c r="J575" t="s">
        <v>23</v>
      </c>
      <c r="K575">
        <v>39</v>
      </c>
      <c r="L575">
        <v>-3374</v>
      </c>
      <c r="M575">
        <v>-2</v>
      </c>
      <c r="N575">
        <v>-4</v>
      </c>
      <c r="O575">
        <v>-4</v>
      </c>
    </row>
    <row r="576" spans="1:15" x14ac:dyDescent="0.3">
      <c r="A576" s="1">
        <v>42212</v>
      </c>
      <c r="B576">
        <v>86843</v>
      </c>
      <c r="C576">
        <v>90243</v>
      </c>
      <c r="D576">
        <v>2242</v>
      </c>
      <c r="E576">
        <v>2015</v>
      </c>
      <c r="F576">
        <v>7</v>
      </c>
      <c r="G576" t="s">
        <v>29</v>
      </c>
      <c r="H576">
        <v>3</v>
      </c>
      <c r="I576">
        <v>27</v>
      </c>
      <c r="J576" t="s">
        <v>16</v>
      </c>
      <c r="K576">
        <v>39</v>
      </c>
      <c r="L576">
        <v>-3400</v>
      </c>
      <c r="M576">
        <v>-2</v>
      </c>
      <c r="N576">
        <v>-4</v>
      </c>
      <c r="O576">
        <v>-4</v>
      </c>
    </row>
    <row r="577" spans="1:15" x14ac:dyDescent="0.3">
      <c r="A577" s="1">
        <v>42213</v>
      </c>
      <c r="B577">
        <v>56977</v>
      </c>
      <c r="C577">
        <v>59094</v>
      </c>
      <c r="D577">
        <v>1474</v>
      </c>
      <c r="E577">
        <v>2015</v>
      </c>
      <c r="F577">
        <v>7</v>
      </c>
      <c r="G577" t="s">
        <v>29</v>
      </c>
      <c r="H577">
        <v>3</v>
      </c>
      <c r="I577">
        <v>28</v>
      </c>
      <c r="J577" t="s">
        <v>17</v>
      </c>
      <c r="K577">
        <v>39</v>
      </c>
      <c r="L577">
        <v>-2117</v>
      </c>
      <c r="M577">
        <v>-1</v>
      </c>
      <c r="N577">
        <v>-4</v>
      </c>
      <c r="O577">
        <v>-4</v>
      </c>
    </row>
    <row r="578" spans="1:15" x14ac:dyDescent="0.3">
      <c r="A578" s="1">
        <v>42214</v>
      </c>
      <c r="B578">
        <v>53434</v>
      </c>
      <c r="C578">
        <v>55517</v>
      </c>
      <c r="D578">
        <v>1381</v>
      </c>
      <c r="E578">
        <v>2015</v>
      </c>
      <c r="F578">
        <v>7</v>
      </c>
      <c r="G578" t="s">
        <v>29</v>
      </c>
      <c r="H578">
        <v>3</v>
      </c>
      <c r="I578">
        <v>29</v>
      </c>
      <c r="J578" t="s">
        <v>19</v>
      </c>
      <c r="K578">
        <v>39</v>
      </c>
      <c r="L578">
        <v>-2083</v>
      </c>
      <c r="M578">
        <v>-2</v>
      </c>
      <c r="N578">
        <v>-4</v>
      </c>
      <c r="O578">
        <v>-4</v>
      </c>
    </row>
    <row r="579" spans="1:15" x14ac:dyDescent="0.3">
      <c r="A579" s="1">
        <v>42215</v>
      </c>
      <c r="B579">
        <v>55134</v>
      </c>
      <c r="C579">
        <v>57065</v>
      </c>
      <c r="D579">
        <v>1423</v>
      </c>
      <c r="E579">
        <v>2015</v>
      </c>
      <c r="F579">
        <v>7</v>
      </c>
      <c r="G579" t="s">
        <v>29</v>
      </c>
      <c r="H579">
        <v>3</v>
      </c>
      <c r="I579">
        <v>30</v>
      </c>
      <c r="J579" t="s">
        <v>20</v>
      </c>
      <c r="K579">
        <v>39</v>
      </c>
      <c r="L579">
        <v>-1931</v>
      </c>
      <c r="M579">
        <v>-1</v>
      </c>
      <c r="N579">
        <v>-4</v>
      </c>
      <c r="O579">
        <v>-4</v>
      </c>
    </row>
    <row r="580" spans="1:15" x14ac:dyDescent="0.3">
      <c r="A580" s="1">
        <v>42216</v>
      </c>
      <c r="B580">
        <v>145034</v>
      </c>
      <c r="C580">
        <v>149877</v>
      </c>
      <c r="D580">
        <v>3740</v>
      </c>
      <c r="E580">
        <v>2015</v>
      </c>
      <c r="F580">
        <v>7</v>
      </c>
      <c r="G580" t="s">
        <v>29</v>
      </c>
      <c r="H580">
        <v>3</v>
      </c>
      <c r="I580">
        <v>31</v>
      </c>
      <c r="J580" t="s">
        <v>21</v>
      </c>
      <c r="K580">
        <v>39</v>
      </c>
      <c r="L580">
        <v>-4843</v>
      </c>
      <c r="M580">
        <v>-1</v>
      </c>
      <c r="N580">
        <v>-3</v>
      </c>
      <c r="O580">
        <v>-3</v>
      </c>
    </row>
    <row r="581" spans="1:15" x14ac:dyDescent="0.3">
      <c r="A581" s="1">
        <v>42217</v>
      </c>
      <c r="B581">
        <v>173307</v>
      </c>
      <c r="C581">
        <v>178700</v>
      </c>
      <c r="D581">
        <v>4453</v>
      </c>
      <c r="E581">
        <v>2015</v>
      </c>
      <c r="F581">
        <v>8</v>
      </c>
      <c r="G581" t="s">
        <v>30</v>
      </c>
      <c r="H581">
        <v>3</v>
      </c>
      <c r="I581">
        <v>1</v>
      </c>
      <c r="J581" t="s">
        <v>22</v>
      </c>
      <c r="K581">
        <v>39</v>
      </c>
      <c r="L581">
        <v>-5393</v>
      </c>
      <c r="M581">
        <v>-1</v>
      </c>
      <c r="N581">
        <v>-3</v>
      </c>
      <c r="O581">
        <v>-3</v>
      </c>
    </row>
    <row r="582" spans="1:15" x14ac:dyDescent="0.3">
      <c r="A582" s="1">
        <v>42218</v>
      </c>
      <c r="B582">
        <v>88154</v>
      </c>
      <c r="C582">
        <v>90829</v>
      </c>
      <c r="D582">
        <v>2258</v>
      </c>
      <c r="E582">
        <v>2015</v>
      </c>
      <c r="F582">
        <v>8</v>
      </c>
      <c r="G582" t="s">
        <v>30</v>
      </c>
      <c r="H582">
        <v>3</v>
      </c>
      <c r="I582">
        <v>2</v>
      </c>
      <c r="J582" t="s">
        <v>23</v>
      </c>
      <c r="K582">
        <v>39</v>
      </c>
      <c r="L582">
        <v>-2674</v>
      </c>
      <c r="M582">
        <v>-1</v>
      </c>
      <c r="N582">
        <v>-3</v>
      </c>
      <c r="O582">
        <v>-3</v>
      </c>
    </row>
    <row r="583" spans="1:15" x14ac:dyDescent="0.3">
      <c r="A583" s="1">
        <v>42219</v>
      </c>
      <c r="B583">
        <v>81142</v>
      </c>
      <c r="C583">
        <v>83115</v>
      </c>
      <c r="D583">
        <v>2074</v>
      </c>
      <c r="E583">
        <v>2015</v>
      </c>
      <c r="F583">
        <v>8</v>
      </c>
      <c r="G583" t="s">
        <v>30</v>
      </c>
      <c r="H583">
        <v>3</v>
      </c>
      <c r="I583">
        <v>3</v>
      </c>
      <c r="J583" t="s">
        <v>16</v>
      </c>
      <c r="K583">
        <v>39</v>
      </c>
      <c r="L583">
        <v>-1973</v>
      </c>
      <c r="M583">
        <v>-1</v>
      </c>
      <c r="N583">
        <v>-2</v>
      </c>
      <c r="O583">
        <v>-2</v>
      </c>
    </row>
    <row r="584" spans="1:15" x14ac:dyDescent="0.3">
      <c r="A584" s="1">
        <v>42220</v>
      </c>
      <c r="B584">
        <v>77673</v>
      </c>
      <c r="C584">
        <v>80418</v>
      </c>
      <c r="D584">
        <v>2007</v>
      </c>
      <c r="E584">
        <v>2015</v>
      </c>
      <c r="F584">
        <v>8</v>
      </c>
      <c r="G584" t="s">
        <v>30</v>
      </c>
      <c r="H584">
        <v>3</v>
      </c>
      <c r="I584">
        <v>4</v>
      </c>
      <c r="J584" t="s">
        <v>17</v>
      </c>
      <c r="K584">
        <v>39</v>
      </c>
      <c r="L584">
        <v>-2745</v>
      </c>
      <c r="M584">
        <v>-1</v>
      </c>
      <c r="N584">
        <v>-4</v>
      </c>
      <c r="O584">
        <v>-4</v>
      </c>
    </row>
    <row r="585" spans="1:15" x14ac:dyDescent="0.3">
      <c r="A585" s="1">
        <v>42221</v>
      </c>
      <c r="B585">
        <v>75483</v>
      </c>
      <c r="C585">
        <v>78024</v>
      </c>
      <c r="D585">
        <v>1948</v>
      </c>
      <c r="E585">
        <v>2015</v>
      </c>
      <c r="F585">
        <v>8</v>
      </c>
      <c r="G585" t="s">
        <v>30</v>
      </c>
      <c r="H585">
        <v>3</v>
      </c>
      <c r="I585">
        <v>5</v>
      </c>
      <c r="J585" t="s">
        <v>19</v>
      </c>
      <c r="K585">
        <v>39</v>
      </c>
      <c r="L585">
        <v>-2541</v>
      </c>
      <c r="M585">
        <v>-1</v>
      </c>
      <c r="N585">
        <v>-3</v>
      </c>
      <c r="O585">
        <v>-3</v>
      </c>
    </row>
    <row r="586" spans="1:15" x14ac:dyDescent="0.3">
      <c r="A586" s="1">
        <v>42222</v>
      </c>
      <c r="B586">
        <v>74355</v>
      </c>
      <c r="C586">
        <v>76978</v>
      </c>
      <c r="D586">
        <v>1922</v>
      </c>
      <c r="E586">
        <v>2015</v>
      </c>
      <c r="F586">
        <v>8</v>
      </c>
      <c r="G586" t="s">
        <v>30</v>
      </c>
      <c r="H586">
        <v>3</v>
      </c>
      <c r="I586">
        <v>6</v>
      </c>
      <c r="J586" t="s">
        <v>20</v>
      </c>
      <c r="K586">
        <v>39</v>
      </c>
      <c r="L586">
        <v>-2624</v>
      </c>
      <c r="M586">
        <v>-1</v>
      </c>
      <c r="N586">
        <v>-4</v>
      </c>
      <c r="O586">
        <v>-4</v>
      </c>
    </row>
    <row r="587" spans="1:15" x14ac:dyDescent="0.3">
      <c r="A587" s="1">
        <v>42223</v>
      </c>
      <c r="B587">
        <v>120327</v>
      </c>
      <c r="C587">
        <v>123708</v>
      </c>
      <c r="D587">
        <v>3088</v>
      </c>
      <c r="E587">
        <v>2015</v>
      </c>
      <c r="F587">
        <v>8</v>
      </c>
      <c r="G587" t="s">
        <v>30</v>
      </c>
      <c r="H587">
        <v>3</v>
      </c>
      <c r="I587">
        <v>7</v>
      </c>
      <c r="J587" t="s">
        <v>21</v>
      </c>
      <c r="K587">
        <v>39</v>
      </c>
      <c r="L587">
        <v>-3381</v>
      </c>
      <c r="M587">
        <v>-1</v>
      </c>
      <c r="N587">
        <v>-3</v>
      </c>
      <c r="O587">
        <v>-3</v>
      </c>
    </row>
    <row r="588" spans="1:15" x14ac:dyDescent="0.3">
      <c r="A588" s="1">
        <v>42224</v>
      </c>
      <c r="B588">
        <v>131868</v>
      </c>
      <c r="C588">
        <v>135721</v>
      </c>
      <c r="D588">
        <v>3388</v>
      </c>
      <c r="E588">
        <v>2015</v>
      </c>
      <c r="F588">
        <v>8</v>
      </c>
      <c r="G588" t="s">
        <v>30</v>
      </c>
      <c r="H588">
        <v>3</v>
      </c>
      <c r="I588">
        <v>8</v>
      </c>
      <c r="J588" t="s">
        <v>22</v>
      </c>
      <c r="K588">
        <v>39</v>
      </c>
      <c r="L588">
        <v>-3853</v>
      </c>
      <c r="M588">
        <v>-1</v>
      </c>
      <c r="N588">
        <v>-3</v>
      </c>
      <c r="O588">
        <v>-3</v>
      </c>
    </row>
    <row r="589" spans="1:15" x14ac:dyDescent="0.3">
      <c r="A589" s="1">
        <v>42225</v>
      </c>
      <c r="B589">
        <v>75504</v>
      </c>
      <c r="C589">
        <v>77979</v>
      </c>
      <c r="D589">
        <v>1944</v>
      </c>
      <c r="E589">
        <v>2015</v>
      </c>
      <c r="F589">
        <v>8</v>
      </c>
      <c r="G589" t="s">
        <v>30</v>
      </c>
      <c r="H589">
        <v>3</v>
      </c>
      <c r="I589">
        <v>9</v>
      </c>
      <c r="J589" t="s">
        <v>23</v>
      </c>
      <c r="K589">
        <v>39</v>
      </c>
      <c r="L589">
        <v>-2475</v>
      </c>
      <c r="M589">
        <v>-1</v>
      </c>
      <c r="N589">
        <v>-3</v>
      </c>
      <c r="O589">
        <v>-3</v>
      </c>
    </row>
    <row r="590" spans="1:15" x14ac:dyDescent="0.3">
      <c r="A590" s="1">
        <v>42226</v>
      </c>
      <c r="B590">
        <v>69968</v>
      </c>
      <c r="C590">
        <v>72666</v>
      </c>
      <c r="D590">
        <v>1812</v>
      </c>
      <c r="E590">
        <v>2015</v>
      </c>
      <c r="F590">
        <v>8</v>
      </c>
      <c r="G590" t="s">
        <v>30</v>
      </c>
      <c r="H590">
        <v>3</v>
      </c>
      <c r="I590">
        <v>10</v>
      </c>
      <c r="J590" t="s">
        <v>16</v>
      </c>
      <c r="K590">
        <v>39</v>
      </c>
      <c r="L590">
        <v>-2698</v>
      </c>
      <c r="M590">
        <v>-1</v>
      </c>
      <c r="N590">
        <v>-4</v>
      </c>
      <c r="O590">
        <v>-4</v>
      </c>
    </row>
    <row r="591" spans="1:15" x14ac:dyDescent="0.3">
      <c r="A591" s="1">
        <v>42227</v>
      </c>
      <c r="B591">
        <v>60187</v>
      </c>
      <c r="C591">
        <v>62538</v>
      </c>
      <c r="D591">
        <v>1563</v>
      </c>
      <c r="E591">
        <v>2015</v>
      </c>
      <c r="F591">
        <v>8</v>
      </c>
      <c r="G591" t="s">
        <v>30</v>
      </c>
      <c r="H591">
        <v>3</v>
      </c>
      <c r="I591">
        <v>11</v>
      </c>
      <c r="J591" t="s">
        <v>17</v>
      </c>
      <c r="K591">
        <v>39</v>
      </c>
      <c r="L591">
        <v>-2351</v>
      </c>
      <c r="M591">
        <v>-2</v>
      </c>
      <c r="N591">
        <v>-4</v>
      </c>
      <c r="O591">
        <v>-4</v>
      </c>
    </row>
    <row r="592" spans="1:15" x14ac:dyDescent="0.3">
      <c r="A592" s="1">
        <v>42228</v>
      </c>
      <c r="B592">
        <v>44699</v>
      </c>
      <c r="C592">
        <v>46850</v>
      </c>
      <c r="D592">
        <v>1171</v>
      </c>
      <c r="E592">
        <v>2015</v>
      </c>
      <c r="F592">
        <v>8</v>
      </c>
      <c r="G592" t="s">
        <v>30</v>
      </c>
      <c r="H592">
        <v>3</v>
      </c>
      <c r="I592">
        <v>12</v>
      </c>
      <c r="J592" t="s">
        <v>19</v>
      </c>
      <c r="K592">
        <v>38</v>
      </c>
      <c r="L592">
        <v>-2151</v>
      </c>
      <c r="M592">
        <v>-2</v>
      </c>
      <c r="N592">
        <v>-5</v>
      </c>
      <c r="O592">
        <v>-5</v>
      </c>
    </row>
    <row r="593" spans="1:15" x14ac:dyDescent="0.3">
      <c r="A593" s="1">
        <v>42229</v>
      </c>
      <c r="B593">
        <v>39463</v>
      </c>
      <c r="C593">
        <v>41414</v>
      </c>
      <c r="D593">
        <v>1035</v>
      </c>
      <c r="E593">
        <v>2015</v>
      </c>
      <c r="F593">
        <v>8</v>
      </c>
      <c r="G593" t="s">
        <v>30</v>
      </c>
      <c r="H593">
        <v>3</v>
      </c>
      <c r="I593">
        <v>13</v>
      </c>
      <c r="J593" t="s">
        <v>20</v>
      </c>
      <c r="K593">
        <v>38</v>
      </c>
      <c r="L593">
        <v>-1951</v>
      </c>
      <c r="M593">
        <v>-2</v>
      </c>
      <c r="N593">
        <v>-5</v>
      </c>
      <c r="O593">
        <v>-5</v>
      </c>
    </row>
    <row r="594" spans="1:15" x14ac:dyDescent="0.3">
      <c r="A594" s="1">
        <v>42230</v>
      </c>
      <c r="B594">
        <v>85794</v>
      </c>
      <c r="C594">
        <v>89899</v>
      </c>
      <c r="D594">
        <v>2247</v>
      </c>
      <c r="E594">
        <v>2015</v>
      </c>
      <c r="F594">
        <v>8</v>
      </c>
      <c r="G594" t="s">
        <v>30</v>
      </c>
      <c r="H594">
        <v>3</v>
      </c>
      <c r="I594">
        <v>14</v>
      </c>
      <c r="J594" t="s">
        <v>21</v>
      </c>
      <c r="K594">
        <v>38</v>
      </c>
      <c r="L594">
        <v>-4105</v>
      </c>
      <c r="M594">
        <v>-2</v>
      </c>
      <c r="N594">
        <v>-5</v>
      </c>
      <c r="O594">
        <v>-5</v>
      </c>
    </row>
    <row r="595" spans="1:15" x14ac:dyDescent="0.3">
      <c r="A595" s="1">
        <v>42231</v>
      </c>
      <c r="B595">
        <v>117288</v>
      </c>
      <c r="C595">
        <v>122504</v>
      </c>
      <c r="D595">
        <v>3068</v>
      </c>
      <c r="E595">
        <v>2015</v>
      </c>
      <c r="F595">
        <v>8</v>
      </c>
      <c r="G595" t="s">
        <v>30</v>
      </c>
      <c r="H595">
        <v>3</v>
      </c>
      <c r="I595">
        <v>15</v>
      </c>
      <c r="J595" t="s">
        <v>22</v>
      </c>
      <c r="K595">
        <v>38</v>
      </c>
      <c r="L595">
        <v>-5216</v>
      </c>
      <c r="M595">
        <v>-2</v>
      </c>
      <c r="N595">
        <v>-4</v>
      </c>
      <c r="O595">
        <v>-4</v>
      </c>
    </row>
    <row r="596" spans="1:15" x14ac:dyDescent="0.3">
      <c r="A596" s="1">
        <v>42232</v>
      </c>
      <c r="B596">
        <v>71056</v>
      </c>
      <c r="C596">
        <v>74589</v>
      </c>
      <c r="D596">
        <v>1866</v>
      </c>
      <c r="E596">
        <v>2015</v>
      </c>
      <c r="F596">
        <v>8</v>
      </c>
      <c r="G596" t="s">
        <v>30</v>
      </c>
      <c r="H596">
        <v>3</v>
      </c>
      <c r="I596">
        <v>16</v>
      </c>
      <c r="J596" t="s">
        <v>23</v>
      </c>
      <c r="K596">
        <v>38</v>
      </c>
      <c r="L596">
        <v>-3533</v>
      </c>
      <c r="M596">
        <v>-2</v>
      </c>
      <c r="N596">
        <v>-5</v>
      </c>
      <c r="O596">
        <v>-5</v>
      </c>
    </row>
    <row r="597" spans="1:15" x14ac:dyDescent="0.3">
      <c r="A597" s="1">
        <v>42233</v>
      </c>
      <c r="B597">
        <v>64394</v>
      </c>
      <c r="C597">
        <v>67505</v>
      </c>
      <c r="D597">
        <v>1690</v>
      </c>
      <c r="E597">
        <v>2015</v>
      </c>
      <c r="F597">
        <v>8</v>
      </c>
      <c r="G597" t="s">
        <v>30</v>
      </c>
      <c r="H597">
        <v>3</v>
      </c>
      <c r="I597">
        <v>17</v>
      </c>
      <c r="J597" t="s">
        <v>16</v>
      </c>
      <c r="K597">
        <v>38</v>
      </c>
      <c r="L597">
        <v>-3111</v>
      </c>
      <c r="M597">
        <v>-2</v>
      </c>
      <c r="N597">
        <v>-5</v>
      </c>
      <c r="O597">
        <v>-5</v>
      </c>
    </row>
    <row r="598" spans="1:15" x14ac:dyDescent="0.3">
      <c r="A598" s="1">
        <v>42234</v>
      </c>
      <c r="B598">
        <v>35166</v>
      </c>
      <c r="C598">
        <v>36842</v>
      </c>
      <c r="D598">
        <v>922</v>
      </c>
      <c r="E598">
        <v>2015</v>
      </c>
      <c r="F598">
        <v>8</v>
      </c>
      <c r="G598" t="s">
        <v>30</v>
      </c>
      <c r="H598">
        <v>3</v>
      </c>
      <c r="I598">
        <v>18</v>
      </c>
      <c r="J598" t="s">
        <v>17</v>
      </c>
      <c r="K598">
        <v>38</v>
      </c>
      <c r="L598">
        <v>-1676</v>
      </c>
      <c r="M598">
        <v>-2</v>
      </c>
      <c r="N598">
        <v>-5</v>
      </c>
      <c r="O598">
        <v>-5</v>
      </c>
    </row>
    <row r="599" spans="1:15" x14ac:dyDescent="0.3">
      <c r="A599" s="1">
        <v>42235</v>
      </c>
      <c r="B599">
        <v>23234</v>
      </c>
      <c r="C599">
        <v>24104</v>
      </c>
      <c r="D599">
        <v>604</v>
      </c>
      <c r="E599">
        <v>2015</v>
      </c>
      <c r="F599">
        <v>8</v>
      </c>
      <c r="G599" t="s">
        <v>30</v>
      </c>
      <c r="H599">
        <v>3</v>
      </c>
      <c r="I599">
        <v>19</v>
      </c>
      <c r="J599" t="s">
        <v>19</v>
      </c>
      <c r="K599">
        <v>38</v>
      </c>
      <c r="L599">
        <v>-870</v>
      </c>
      <c r="M599">
        <v>-1</v>
      </c>
      <c r="N599">
        <v>-4</v>
      </c>
      <c r="O599">
        <v>-4</v>
      </c>
    </row>
    <row r="600" spans="1:15" x14ac:dyDescent="0.3">
      <c r="A600" s="1">
        <v>42236</v>
      </c>
      <c r="B600">
        <v>24755</v>
      </c>
      <c r="C600">
        <v>25407</v>
      </c>
      <c r="D600">
        <v>643</v>
      </c>
      <c r="E600">
        <v>2015</v>
      </c>
      <c r="F600">
        <v>8</v>
      </c>
      <c r="G600" t="s">
        <v>30</v>
      </c>
      <c r="H600">
        <v>3</v>
      </c>
      <c r="I600">
        <v>20</v>
      </c>
      <c r="J600" t="s">
        <v>20</v>
      </c>
      <c r="K600">
        <v>38</v>
      </c>
      <c r="L600">
        <v>-652</v>
      </c>
      <c r="M600">
        <v>-1</v>
      </c>
      <c r="N600">
        <v>-3</v>
      </c>
      <c r="O600">
        <v>-3</v>
      </c>
    </row>
    <row r="601" spans="1:15" x14ac:dyDescent="0.3">
      <c r="A601" s="1">
        <v>42237</v>
      </c>
      <c r="B601">
        <v>76691</v>
      </c>
      <c r="C601">
        <v>78692</v>
      </c>
      <c r="D601">
        <v>2006</v>
      </c>
      <c r="E601">
        <v>2015</v>
      </c>
      <c r="F601">
        <v>8</v>
      </c>
      <c r="G601" t="s">
        <v>30</v>
      </c>
      <c r="H601">
        <v>3</v>
      </c>
      <c r="I601">
        <v>21</v>
      </c>
      <c r="J601" t="s">
        <v>21</v>
      </c>
      <c r="K601">
        <v>38</v>
      </c>
      <c r="L601">
        <v>-2001</v>
      </c>
      <c r="M601">
        <v>-1</v>
      </c>
      <c r="N601">
        <v>-3</v>
      </c>
      <c r="O601">
        <v>-3</v>
      </c>
    </row>
    <row r="602" spans="1:15" x14ac:dyDescent="0.3">
      <c r="A602" s="1">
        <v>42238</v>
      </c>
      <c r="B602">
        <v>102231</v>
      </c>
      <c r="C602">
        <v>104713</v>
      </c>
      <c r="D602">
        <v>2677</v>
      </c>
      <c r="E602">
        <v>2015</v>
      </c>
      <c r="F602">
        <v>8</v>
      </c>
      <c r="G602" t="s">
        <v>30</v>
      </c>
      <c r="H602">
        <v>3</v>
      </c>
      <c r="I602">
        <v>22</v>
      </c>
      <c r="J602" t="s">
        <v>22</v>
      </c>
      <c r="K602">
        <v>38</v>
      </c>
      <c r="L602">
        <v>-2482</v>
      </c>
      <c r="M602">
        <v>-1</v>
      </c>
      <c r="N602">
        <v>-2</v>
      </c>
      <c r="O602">
        <v>-2</v>
      </c>
    </row>
    <row r="603" spans="1:15" x14ac:dyDescent="0.3">
      <c r="A603" s="1">
        <v>42239</v>
      </c>
      <c r="B603">
        <v>56975</v>
      </c>
      <c r="C603">
        <v>57549</v>
      </c>
      <c r="D603">
        <v>1467</v>
      </c>
      <c r="E603">
        <v>2015</v>
      </c>
      <c r="F603">
        <v>8</v>
      </c>
      <c r="G603" t="s">
        <v>30</v>
      </c>
      <c r="H603">
        <v>3</v>
      </c>
      <c r="I603">
        <v>23</v>
      </c>
      <c r="J603" t="s">
        <v>23</v>
      </c>
      <c r="K603">
        <v>39</v>
      </c>
      <c r="L603">
        <v>-574</v>
      </c>
      <c r="M603">
        <v>0</v>
      </c>
      <c r="N603">
        <v>-1</v>
      </c>
      <c r="O603">
        <v>-1</v>
      </c>
    </row>
    <row r="604" spans="1:15" x14ac:dyDescent="0.3">
      <c r="A604" s="1">
        <v>42240</v>
      </c>
      <c r="B604">
        <v>59443</v>
      </c>
      <c r="C604">
        <v>59785</v>
      </c>
      <c r="D604">
        <v>1528</v>
      </c>
      <c r="E604">
        <v>2015</v>
      </c>
      <c r="F604">
        <v>8</v>
      </c>
      <c r="G604" t="s">
        <v>30</v>
      </c>
      <c r="H604">
        <v>3</v>
      </c>
      <c r="I604">
        <v>24</v>
      </c>
      <c r="J604" t="s">
        <v>16</v>
      </c>
      <c r="K604">
        <v>39</v>
      </c>
      <c r="L604">
        <v>-343</v>
      </c>
      <c r="M604">
        <v>0</v>
      </c>
      <c r="N604">
        <v>-1</v>
      </c>
      <c r="O604">
        <v>-1</v>
      </c>
    </row>
    <row r="605" spans="1:15" x14ac:dyDescent="0.3">
      <c r="A605" s="1">
        <v>42241</v>
      </c>
      <c r="B605">
        <v>217683</v>
      </c>
      <c r="C605">
        <v>246976</v>
      </c>
      <c r="D605">
        <v>6360</v>
      </c>
      <c r="E605">
        <v>2015</v>
      </c>
      <c r="F605">
        <v>8</v>
      </c>
      <c r="G605" t="s">
        <v>30</v>
      </c>
      <c r="H605">
        <v>3</v>
      </c>
      <c r="I605">
        <v>25</v>
      </c>
      <c r="J605" t="s">
        <v>17</v>
      </c>
      <c r="K605">
        <v>34</v>
      </c>
      <c r="L605">
        <v>-29292</v>
      </c>
      <c r="M605">
        <v>-5</v>
      </c>
      <c r="N605">
        <v>-13</v>
      </c>
      <c r="O605">
        <v>-13</v>
      </c>
    </row>
    <row r="606" spans="1:15" x14ac:dyDescent="0.3">
      <c r="A606" s="1">
        <v>42242</v>
      </c>
      <c r="B606">
        <v>275459</v>
      </c>
      <c r="C606">
        <v>307092</v>
      </c>
      <c r="D606">
        <v>8035</v>
      </c>
      <c r="E606">
        <v>2015</v>
      </c>
      <c r="F606">
        <v>8</v>
      </c>
      <c r="G606" t="s">
        <v>30</v>
      </c>
      <c r="H606">
        <v>3</v>
      </c>
      <c r="I606">
        <v>26</v>
      </c>
      <c r="J606" t="s">
        <v>19</v>
      </c>
      <c r="K606">
        <v>34</v>
      </c>
      <c r="L606">
        <v>-31633</v>
      </c>
      <c r="M606">
        <v>-4</v>
      </c>
      <c r="N606">
        <v>-11</v>
      </c>
      <c r="O606">
        <v>-11</v>
      </c>
    </row>
    <row r="607" spans="1:15" x14ac:dyDescent="0.3">
      <c r="A607" s="1">
        <v>42243</v>
      </c>
      <c r="B607">
        <v>228732</v>
      </c>
      <c r="C607">
        <v>252845</v>
      </c>
      <c r="D607">
        <v>6675</v>
      </c>
      <c r="E607">
        <v>2015</v>
      </c>
      <c r="F607">
        <v>8</v>
      </c>
      <c r="G607" t="s">
        <v>30</v>
      </c>
      <c r="H607">
        <v>3</v>
      </c>
      <c r="I607">
        <v>27</v>
      </c>
      <c r="J607" t="s">
        <v>20</v>
      </c>
      <c r="K607">
        <v>34</v>
      </c>
      <c r="L607">
        <v>-24114</v>
      </c>
      <c r="M607">
        <v>-4</v>
      </c>
      <c r="N607">
        <v>-11</v>
      </c>
      <c r="O607">
        <v>-11</v>
      </c>
    </row>
    <row r="608" spans="1:15" x14ac:dyDescent="0.3">
      <c r="A608" s="1">
        <v>42244</v>
      </c>
      <c r="B608">
        <v>387639</v>
      </c>
      <c r="C608">
        <v>426783</v>
      </c>
      <c r="D608">
        <v>11330</v>
      </c>
      <c r="E608">
        <v>2015</v>
      </c>
      <c r="F608">
        <v>8</v>
      </c>
      <c r="G608" t="s">
        <v>30</v>
      </c>
      <c r="H608">
        <v>3</v>
      </c>
      <c r="I608">
        <v>28</v>
      </c>
      <c r="J608" t="s">
        <v>21</v>
      </c>
      <c r="K608">
        <v>34</v>
      </c>
      <c r="L608">
        <v>-39144</v>
      </c>
      <c r="M608">
        <v>-3</v>
      </c>
      <c r="N608">
        <v>-10</v>
      </c>
      <c r="O608">
        <v>-10</v>
      </c>
    </row>
    <row r="609" spans="1:15" x14ac:dyDescent="0.3">
      <c r="A609" s="1">
        <v>42245</v>
      </c>
      <c r="B609">
        <v>461188</v>
      </c>
      <c r="C609">
        <v>504578</v>
      </c>
      <c r="D609">
        <v>13484</v>
      </c>
      <c r="E609">
        <v>2015</v>
      </c>
      <c r="F609">
        <v>8</v>
      </c>
      <c r="G609" t="s">
        <v>30</v>
      </c>
      <c r="H609">
        <v>3</v>
      </c>
      <c r="I609">
        <v>29</v>
      </c>
      <c r="J609" t="s">
        <v>22</v>
      </c>
      <c r="K609">
        <v>34</v>
      </c>
      <c r="L609">
        <v>-43390</v>
      </c>
      <c r="M609">
        <v>-3</v>
      </c>
      <c r="N609">
        <v>-9</v>
      </c>
      <c r="O609">
        <v>-9</v>
      </c>
    </row>
    <row r="610" spans="1:15" x14ac:dyDescent="0.3">
      <c r="A610" s="1">
        <v>42246</v>
      </c>
      <c r="B610">
        <v>202250</v>
      </c>
      <c r="C610">
        <v>220152</v>
      </c>
      <c r="D610">
        <v>5913</v>
      </c>
      <c r="E610">
        <v>2015</v>
      </c>
      <c r="F610">
        <v>8</v>
      </c>
      <c r="G610" t="s">
        <v>30</v>
      </c>
      <c r="H610">
        <v>3</v>
      </c>
      <c r="I610">
        <v>30</v>
      </c>
      <c r="J610" t="s">
        <v>23</v>
      </c>
      <c r="K610">
        <v>34</v>
      </c>
      <c r="L610">
        <v>-17903</v>
      </c>
      <c r="M610">
        <v>-3</v>
      </c>
      <c r="N610">
        <v>-9</v>
      </c>
      <c r="O610">
        <v>-9</v>
      </c>
    </row>
    <row r="611" spans="1:15" x14ac:dyDescent="0.3">
      <c r="A611" s="1">
        <v>42247</v>
      </c>
      <c r="B611">
        <v>332560</v>
      </c>
      <c r="C611">
        <v>361970</v>
      </c>
      <c r="D611">
        <v>9721</v>
      </c>
      <c r="E611">
        <v>2015</v>
      </c>
      <c r="F611">
        <v>8</v>
      </c>
      <c r="G611" t="s">
        <v>30</v>
      </c>
      <c r="H611">
        <v>3</v>
      </c>
      <c r="I611">
        <v>31</v>
      </c>
      <c r="J611" t="s">
        <v>16</v>
      </c>
      <c r="K611">
        <v>34</v>
      </c>
      <c r="L611">
        <v>-29411</v>
      </c>
      <c r="M611">
        <v>-3</v>
      </c>
      <c r="N611">
        <v>-9</v>
      </c>
      <c r="O611">
        <v>-9</v>
      </c>
    </row>
    <row r="612" spans="1:15" x14ac:dyDescent="0.3">
      <c r="A612" s="1">
        <v>42248</v>
      </c>
      <c r="B612">
        <v>384807</v>
      </c>
      <c r="C612">
        <v>418102</v>
      </c>
      <c r="D612">
        <v>11257</v>
      </c>
      <c r="E612">
        <v>2015</v>
      </c>
      <c r="F612">
        <v>9</v>
      </c>
      <c r="G612" t="s">
        <v>31</v>
      </c>
      <c r="H612">
        <v>3</v>
      </c>
      <c r="I612">
        <v>1</v>
      </c>
      <c r="J612" t="s">
        <v>17</v>
      </c>
      <c r="K612">
        <v>34</v>
      </c>
      <c r="L612">
        <v>-33295</v>
      </c>
      <c r="M612">
        <v>-3</v>
      </c>
      <c r="N612">
        <v>-9</v>
      </c>
      <c r="O612">
        <v>-9</v>
      </c>
    </row>
    <row r="613" spans="1:15" x14ac:dyDescent="0.3">
      <c r="A613" s="1">
        <v>42249</v>
      </c>
      <c r="B613">
        <v>345776</v>
      </c>
      <c r="C613">
        <v>373816</v>
      </c>
      <c r="D613">
        <v>10102</v>
      </c>
      <c r="E613">
        <v>2015</v>
      </c>
      <c r="F613">
        <v>9</v>
      </c>
      <c r="G613" t="s">
        <v>31</v>
      </c>
      <c r="H613">
        <v>3</v>
      </c>
      <c r="I613">
        <v>2</v>
      </c>
      <c r="J613" t="s">
        <v>19</v>
      </c>
      <c r="K613">
        <v>34</v>
      </c>
      <c r="L613">
        <v>-28040</v>
      </c>
      <c r="M613">
        <v>-3</v>
      </c>
      <c r="N613">
        <v>-8</v>
      </c>
      <c r="O613">
        <v>-8</v>
      </c>
    </row>
    <row r="614" spans="1:15" x14ac:dyDescent="0.3">
      <c r="A614" s="1">
        <v>42250</v>
      </c>
      <c r="B614">
        <v>271551</v>
      </c>
      <c r="C614">
        <v>293344</v>
      </c>
      <c r="D614">
        <v>7938</v>
      </c>
      <c r="E614">
        <v>2015</v>
      </c>
      <c r="F614">
        <v>9</v>
      </c>
      <c r="G614" t="s">
        <v>31</v>
      </c>
      <c r="H614">
        <v>3</v>
      </c>
      <c r="I614">
        <v>3</v>
      </c>
      <c r="J614" t="s">
        <v>20</v>
      </c>
      <c r="K614">
        <v>34</v>
      </c>
      <c r="L614">
        <v>-21793</v>
      </c>
      <c r="M614">
        <v>-3</v>
      </c>
      <c r="N614">
        <v>-8</v>
      </c>
      <c r="O614">
        <v>-8</v>
      </c>
    </row>
    <row r="615" spans="1:15" x14ac:dyDescent="0.3">
      <c r="A615" s="1">
        <v>42251</v>
      </c>
      <c r="B615">
        <v>340440</v>
      </c>
      <c r="C615">
        <v>366360</v>
      </c>
      <c r="D615">
        <v>9936</v>
      </c>
      <c r="E615">
        <v>2015</v>
      </c>
      <c r="F615">
        <v>9</v>
      </c>
      <c r="G615" t="s">
        <v>31</v>
      </c>
      <c r="H615">
        <v>3</v>
      </c>
      <c r="I615">
        <v>4</v>
      </c>
      <c r="J615" t="s">
        <v>21</v>
      </c>
      <c r="K615">
        <v>34</v>
      </c>
      <c r="L615">
        <v>-25919</v>
      </c>
      <c r="M615">
        <v>-3</v>
      </c>
      <c r="N615">
        <v>-8</v>
      </c>
      <c r="O615">
        <v>-8</v>
      </c>
    </row>
    <row r="616" spans="1:15" x14ac:dyDescent="0.3">
      <c r="A616" s="1">
        <v>42252</v>
      </c>
      <c r="B616">
        <v>364417</v>
      </c>
      <c r="C616">
        <v>392128</v>
      </c>
      <c r="D616">
        <v>10643</v>
      </c>
      <c r="E616">
        <v>2015</v>
      </c>
      <c r="F616">
        <v>9</v>
      </c>
      <c r="G616" t="s">
        <v>31</v>
      </c>
      <c r="H616">
        <v>3</v>
      </c>
      <c r="I616">
        <v>5</v>
      </c>
      <c r="J616" t="s">
        <v>22</v>
      </c>
      <c r="K616">
        <v>34</v>
      </c>
      <c r="L616">
        <v>-27712</v>
      </c>
      <c r="M616">
        <v>-3</v>
      </c>
      <c r="N616">
        <v>-8</v>
      </c>
      <c r="O616">
        <v>-8</v>
      </c>
    </row>
    <row r="617" spans="1:15" x14ac:dyDescent="0.3">
      <c r="A617" s="1">
        <v>42253</v>
      </c>
      <c r="B617">
        <v>164720</v>
      </c>
      <c r="C617">
        <v>176648</v>
      </c>
      <c r="D617">
        <v>4800</v>
      </c>
      <c r="E617">
        <v>2015</v>
      </c>
      <c r="F617">
        <v>9</v>
      </c>
      <c r="G617" t="s">
        <v>31</v>
      </c>
      <c r="H617">
        <v>3</v>
      </c>
      <c r="I617">
        <v>6</v>
      </c>
      <c r="J617" t="s">
        <v>23</v>
      </c>
      <c r="K617">
        <v>34</v>
      </c>
      <c r="L617">
        <v>-11928</v>
      </c>
      <c r="M617">
        <v>-2</v>
      </c>
      <c r="N617">
        <v>-7</v>
      </c>
      <c r="O617">
        <v>-7</v>
      </c>
    </row>
    <row r="618" spans="1:15" x14ac:dyDescent="0.3">
      <c r="A618" s="1">
        <v>42254</v>
      </c>
      <c r="B618">
        <v>178921</v>
      </c>
      <c r="C618">
        <v>192508</v>
      </c>
      <c r="D618">
        <v>5228</v>
      </c>
      <c r="E618">
        <v>2015</v>
      </c>
      <c r="F618">
        <v>9</v>
      </c>
      <c r="G618" t="s">
        <v>31</v>
      </c>
      <c r="H618">
        <v>3</v>
      </c>
      <c r="I618">
        <v>7</v>
      </c>
      <c r="J618" t="s">
        <v>16</v>
      </c>
      <c r="K618">
        <v>34</v>
      </c>
      <c r="L618">
        <v>-13586</v>
      </c>
      <c r="M618">
        <v>-3</v>
      </c>
      <c r="N618">
        <v>-8</v>
      </c>
      <c r="O618">
        <v>-8</v>
      </c>
    </row>
    <row r="619" spans="1:15" x14ac:dyDescent="0.3">
      <c r="A619" s="1">
        <v>42255</v>
      </c>
      <c r="B619">
        <v>70287</v>
      </c>
      <c r="C619">
        <v>66640</v>
      </c>
      <c r="D619">
        <v>1810</v>
      </c>
      <c r="E619">
        <v>2015</v>
      </c>
      <c r="F619">
        <v>9</v>
      </c>
      <c r="G619" t="s">
        <v>31</v>
      </c>
      <c r="H619">
        <v>3</v>
      </c>
      <c r="I619">
        <v>8</v>
      </c>
      <c r="J619" t="s">
        <v>17</v>
      </c>
      <c r="K619">
        <v>39</v>
      </c>
      <c r="L619">
        <v>3647</v>
      </c>
      <c r="M619">
        <v>2</v>
      </c>
      <c r="N619">
        <v>5</v>
      </c>
      <c r="O619">
        <v>5</v>
      </c>
    </row>
    <row r="620" spans="1:15" x14ac:dyDescent="0.3">
      <c r="A620" s="1">
        <v>42256</v>
      </c>
      <c r="B620">
        <v>76014</v>
      </c>
      <c r="C620">
        <v>72211</v>
      </c>
      <c r="D620">
        <v>1961</v>
      </c>
      <c r="E620">
        <v>2015</v>
      </c>
      <c r="F620">
        <v>9</v>
      </c>
      <c r="G620" t="s">
        <v>31</v>
      </c>
      <c r="H620">
        <v>3</v>
      </c>
      <c r="I620">
        <v>9</v>
      </c>
      <c r="J620" t="s">
        <v>19</v>
      </c>
      <c r="K620">
        <v>39</v>
      </c>
      <c r="L620">
        <v>3803</v>
      </c>
      <c r="M620">
        <v>2</v>
      </c>
      <c r="N620">
        <v>5</v>
      </c>
      <c r="O620">
        <v>5</v>
      </c>
    </row>
    <row r="621" spans="1:15" x14ac:dyDescent="0.3">
      <c r="A621" s="1">
        <v>42257</v>
      </c>
      <c r="B621">
        <v>48407</v>
      </c>
      <c r="C621">
        <v>45317</v>
      </c>
      <c r="D621">
        <v>1232</v>
      </c>
      <c r="E621">
        <v>2015</v>
      </c>
      <c r="F621">
        <v>9</v>
      </c>
      <c r="G621" t="s">
        <v>31</v>
      </c>
      <c r="H621">
        <v>3</v>
      </c>
      <c r="I621">
        <v>10</v>
      </c>
      <c r="J621" t="s">
        <v>20</v>
      </c>
      <c r="K621">
        <v>39</v>
      </c>
      <c r="L621">
        <v>3090</v>
      </c>
      <c r="M621">
        <v>3</v>
      </c>
      <c r="N621">
        <v>6</v>
      </c>
      <c r="O621">
        <v>6</v>
      </c>
    </row>
    <row r="622" spans="1:15" x14ac:dyDescent="0.3">
      <c r="A622" s="1">
        <v>42258</v>
      </c>
      <c r="B622">
        <v>85940</v>
      </c>
      <c r="C622">
        <v>81560</v>
      </c>
      <c r="D622">
        <v>2194</v>
      </c>
      <c r="E622">
        <v>2015</v>
      </c>
      <c r="F622">
        <v>9</v>
      </c>
      <c r="G622" t="s">
        <v>31</v>
      </c>
      <c r="H622">
        <v>3</v>
      </c>
      <c r="I622">
        <v>11</v>
      </c>
      <c r="J622" t="s">
        <v>21</v>
      </c>
      <c r="K622">
        <v>39</v>
      </c>
      <c r="L622">
        <v>4380</v>
      </c>
      <c r="M622">
        <v>2</v>
      </c>
      <c r="N622">
        <v>5</v>
      </c>
      <c r="O622">
        <v>5</v>
      </c>
    </row>
    <row r="623" spans="1:15" x14ac:dyDescent="0.3">
      <c r="A623" s="1">
        <v>42259</v>
      </c>
      <c r="B623">
        <v>57382</v>
      </c>
      <c r="C623">
        <v>54341</v>
      </c>
      <c r="D623">
        <v>1469</v>
      </c>
      <c r="E623">
        <v>2015</v>
      </c>
      <c r="F623">
        <v>9</v>
      </c>
      <c r="G623" t="s">
        <v>31</v>
      </c>
      <c r="H623">
        <v>3</v>
      </c>
      <c r="I623">
        <v>12</v>
      </c>
      <c r="J623" t="s">
        <v>22</v>
      </c>
      <c r="K623">
        <v>39</v>
      </c>
      <c r="L623">
        <v>3041</v>
      </c>
      <c r="M623">
        <v>2</v>
      </c>
      <c r="N623">
        <v>5</v>
      </c>
      <c r="O623">
        <v>5</v>
      </c>
    </row>
    <row r="624" spans="1:15" x14ac:dyDescent="0.3">
      <c r="A624" s="1">
        <v>42260</v>
      </c>
      <c r="B624">
        <v>32480</v>
      </c>
      <c r="C624">
        <v>30764</v>
      </c>
      <c r="D624">
        <v>829</v>
      </c>
      <c r="E624">
        <v>2015</v>
      </c>
      <c r="F624">
        <v>9</v>
      </c>
      <c r="G624" t="s">
        <v>31</v>
      </c>
      <c r="H624">
        <v>3</v>
      </c>
      <c r="I624">
        <v>13</v>
      </c>
      <c r="J624" t="s">
        <v>23</v>
      </c>
      <c r="K624">
        <v>39</v>
      </c>
      <c r="L624">
        <v>1716</v>
      </c>
      <c r="M624">
        <v>2</v>
      </c>
      <c r="N624">
        <v>5</v>
      </c>
      <c r="O624">
        <v>5</v>
      </c>
    </row>
    <row r="625" spans="1:15" x14ac:dyDescent="0.3">
      <c r="A625" s="1">
        <v>42261</v>
      </c>
      <c r="B625">
        <v>52160</v>
      </c>
      <c r="C625">
        <v>49656</v>
      </c>
      <c r="D625">
        <v>1329</v>
      </c>
      <c r="E625">
        <v>2015</v>
      </c>
      <c r="F625">
        <v>9</v>
      </c>
      <c r="G625" t="s">
        <v>31</v>
      </c>
      <c r="H625">
        <v>3</v>
      </c>
      <c r="I625">
        <v>14</v>
      </c>
      <c r="J625" t="s">
        <v>16</v>
      </c>
      <c r="K625">
        <v>39</v>
      </c>
      <c r="L625">
        <v>2504</v>
      </c>
      <c r="M625">
        <v>2</v>
      </c>
      <c r="N625">
        <v>5</v>
      </c>
      <c r="O625">
        <v>5</v>
      </c>
    </row>
    <row r="626" spans="1:15" x14ac:dyDescent="0.3">
      <c r="A626" s="1">
        <v>42262</v>
      </c>
      <c r="B626">
        <v>51003</v>
      </c>
      <c r="C626">
        <v>48602</v>
      </c>
      <c r="D626">
        <v>1300</v>
      </c>
      <c r="E626">
        <v>2015</v>
      </c>
      <c r="F626">
        <v>9</v>
      </c>
      <c r="G626" t="s">
        <v>31</v>
      </c>
      <c r="H626">
        <v>3</v>
      </c>
      <c r="I626">
        <v>15</v>
      </c>
      <c r="J626" t="s">
        <v>17</v>
      </c>
      <c r="K626">
        <v>39</v>
      </c>
      <c r="L626">
        <v>2401</v>
      </c>
      <c r="M626">
        <v>2</v>
      </c>
      <c r="N626">
        <v>5</v>
      </c>
      <c r="O626">
        <v>5</v>
      </c>
    </row>
    <row r="627" spans="1:15" x14ac:dyDescent="0.3">
      <c r="A627" s="1">
        <v>42263</v>
      </c>
      <c r="B627">
        <v>30195</v>
      </c>
      <c r="C627">
        <v>28605</v>
      </c>
      <c r="D627">
        <v>773</v>
      </c>
      <c r="E627">
        <v>2015</v>
      </c>
      <c r="F627">
        <v>9</v>
      </c>
      <c r="G627" t="s">
        <v>31</v>
      </c>
      <c r="H627">
        <v>3</v>
      </c>
      <c r="I627">
        <v>16</v>
      </c>
      <c r="J627" t="s">
        <v>19</v>
      </c>
      <c r="K627">
        <v>39</v>
      </c>
      <c r="L627">
        <v>1589</v>
      </c>
      <c r="M627">
        <v>2</v>
      </c>
      <c r="N627">
        <v>5</v>
      </c>
      <c r="O627">
        <v>5</v>
      </c>
    </row>
    <row r="628" spans="1:15" x14ac:dyDescent="0.3">
      <c r="A628" s="1">
        <v>42264</v>
      </c>
      <c r="B628">
        <v>29751</v>
      </c>
      <c r="C628">
        <v>28084</v>
      </c>
      <c r="D628">
        <v>760</v>
      </c>
      <c r="E628">
        <v>2015</v>
      </c>
      <c r="F628">
        <v>9</v>
      </c>
      <c r="G628" t="s">
        <v>31</v>
      </c>
      <c r="H628">
        <v>3</v>
      </c>
      <c r="I628">
        <v>17</v>
      </c>
      <c r="J628" t="s">
        <v>20</v>
      </c>
      <c r="K628">
        <v>39</v>
      </c>
      <c r="L628">
        <v>1667</v>
      </c>
      <c r="M628">
        <v>2</v>
      </c>
      <c r="N628">
        <v>6</v>
      </c>
      <c r="O628">
        <v>6</v>
      </c>
    </row>
    <row r="629" spans="1:15" x14ac:dyDescent="0.3">
      <c r="A629" s="1">
        <v>42265</v>
      </c>
      <c r="B629">
        <v>68505</v>
      </c>
      <c r="C629">
        <v>64882</v>
      </c>
      <c r="D629">
        <v>1755</v>
      </c>
      <c r="E629">
        <v>2015</v>
      </c>
      <c r="F629">
        <v>9</v>
      </c>
      <c r="G629" t="s">
        <v>31</v>
      </c>
      <c r="H629">
        <v>3</v>
      </c>
      <c r="I629">
        <v>18</v>
      </c>
      <c r="J629" t="s">
        <v>21</v>
      </c>
      <c r="K629">
        <v>39</v>
      </c>
      <c r="L629">
        <v>3623</v>
      </c>
      <c r="M629">
        <v>2</v>
      </c>
      <c r="N629">
        <v>5</v>
      </c>
      <c r="O629">
        <v>5</v>
      </c>
    </row>
    <row r="630" spans="1:15" x14ac:dyDescent="0.3">
      <c r="A630" s="1">
        <v>42266</v>
      </c>
      <c r="B630">
        <v>68997</v>
      </c>
      <c r="C630">
        <v>65212</v>
      </c>
      <c r="D630">
        <v>1766</v>
      </c>
      <c r="E630">
        <v>2015</v>
      </c>
      <c r="F630">
        <v>9</v>
      </c>
      <c r="G630" t="s">
        <v>31</v>
      </c>
      <c r="H630">
        <v>3</v>
      </c>
      <c r="I630">
        <v>19</v>
      </c>
      <c r="J630" t="s">
        <v>22</v>
      </c>
      <c r="K630">
        <v>39</v>
      </c>
      <c r="L630">
        <v>3785</v>
      </c>
      <c r="M630">
        <v>2</v>
      </c>
      <c r="N630">
        <v>5</v>
      </c>
      <c r="O630">
        <v>5</v>
      </c>
    </row>
    <row r="631" spans="1:15" x14ac:dyDescent="0.3">
      <c r="A631" s="1">
        <v>42267</v>
      </c>
      <c r="B631">
        <v>41856</v>
      </c>
      <c r="C631">
        <v>39629</v>
      </c>
      <c r="D631">
        <v>1078</v>
      </c>
      <c r="E631">
        <v>2015</v>
      </c>
      <c r="F631">
        <v>9</v>
      </c>
      <c r="G631" t="s">
        <v>31</v>
      </c>
      <c r="H631">
        <v>3</v>
      </c>
      <c r="I631">
        <v>20</v>
      </c>
      <c r="J631" t="s">
        <v>23</v>
      </c>
      <c r="K631">
        <v>39</v>
      </c>
      <c r="L631">
        <v>2226</v>
      </c>
      <c r="M631">
        <v>2</v>
      </c>
      <c r="N631">
        <v>5</v>
      </c>
      <c r="O631">
        <v>5</v>
      </c>
    </row>
    <row r="632" spans="1:15" x14ac:dyDescent="0.3">
      <c r="A632" s="1">
        <v>42268</v>
      </c>
      <c r="B632">
        <v>44303</v>
      </c>
      <c r="C632">
        <v>41485</v>
      </c>
      <c r="D632">
        <v>1124</v>
      </c>
      <c r="E632">
        <v>2015</v>
      </c>
      <c r="F632">
        <v>9</v>
      </c>
      <c r="G632" t="s">
        <v>31</v>
      </c>
      <c r="H632">
        <v>3</v>
      </c>
      <c r="I632">
        <v>21</v>
      </c>
      <c r="J632" t="s">
        <v>16</v>
      </c>
      <c r="K632">
        <v>39</v>
      </c>
      <c r="L632">
        <v>2818</v>
      </c>
      <c r="M632">
        <v>3</v>
      </c>
      <c r="N632">
        <v>6</v>
      </c>
      <c r="O632">
        <v>6</v>
      </c>
    </row>
    <row r="633" spans="1:15" x14ac:dyDescent="0.3">
      <c r="A633" s="1">
        <v>42269</v>
      </c>
      <c r="B633">
        <v>46599</v>
      </c>
      <c r="C633">
        <v>43807</v>
      </c>
      <c r="D633">
        <v>1182</v>
      </c>
      <c r="E633">
        <v>2015</v>
      </c>
      <c r="F633">
        <v>9</v>
      </c>
      <c r="G633" t="s">
        <v>31</v>
      </c>
      <c r="H633">
        <v>3</v>
      </c>
      <c r="I633">
        <v>22</v>
      </c>
      <c r="J633" t="s">
        <v>17</v>
      </c>
      <c r="K633">
        <v>39</v>
      </c>
      <c r="L633">
        <v>2793</v>
      </c>
      <c r="M633">
        <v>2</v>
      </c>
      <c r="N633">
        <v>6</v>
      </c>
      <c r="O633">
        <v>6</v>
      </c>
    </row>
    <row r="634" spans="1:15" x14ac:dyDescent="0.3">
      <c r="A634" s="1">
        <v>42270</v>
      </c>
      <c r="B634">
        <v>125183</v>
      </c>
      <c r="C634">
        <v>138584</v>
      </c>
      <c r="D634">
        <v>3725</v>
      </c>
      <c r="E634">
        <v>2015</v>
      </c>
      <c r="F634">
        <v>9</v>
      </c>
      <c r="G634" t="s">
        <v>31</v>
      </c>
      <c r="H634">
        <v>3</v>
      </c>
      <c r="I634">
        <v>23</v>
      </c>
      <c r="J634" t="s">
        <v>19</v>
      </c>
      <c r="K634">
        <v>34</v>
      </c>
      <c r="L634">
        <v>-13401</v>
      </c>
      <c r="M634">
        <v>-4</v>
      </c>
      <c r="N634">
        <v>-11</v>
      </c>
      <c r="O634">
        <v>-11</v>
      </c>
    </row>
    <row r="635" spans="1:15" x14ac:dyDescent="0.3">
      <c r="A635" s="1">
        <v>42271</v>
      </c>
      <c r="B635">
        <v>150037</v>
      </c>
      <c r="C635">
        <v>167705</v>
      </c>
      <c r="D635">
        <v>4492</v>
      </c>
      <c r="E635">
        <v>2015</v>
      </c>
      <c r="F635">
        <v>9</v>
      </c>
      <c r="G635" t="s">
        <v>31</v>
      </c>
      <c r="H635">
        <v>3</v>
      </c>
      <c r="I635">
        <v>24</v>
      </c>
      <c r="J635" t="s">
        <v>20</v>
      </c>
      <c r="K635">
        <v>33</v>
      </c>
      <c r="L635">
        <v>-17668</v>
      </c>
      <c r="M635">
        <v>-4</v>
      </c>
      <c r="N635">
        <v>-12</v>
      </c>
      <c r="O635">
        <v>-12</v>
      </c>
    </row>
    <row r="636" spans="1:15" x14ac:dyDescent="0.3">
      <c r="A636" s="1">
        <v>42272</v>
      </c>
      <c r="B636">
        <v>368038</v>
      </c>
      <c r="C636">
        <v>413541</v>
      </c>
      <c r="D636">
        <v>11030</v>
      </c>
      <c r="E636">
        <v>2015</v>
      </c>
      <c r="F636">
        <v>9</v>
      </c>
      <c r="G636" t="s">
        <v>31</v>
      </c>
      <c r="H636">
        <v>3</v>
      </c>
      <c r="I636">
        <v>25</v>
      </c>
      <c r="J636" t="s">
        <v>21</v>
      </c>
      <c r="K636">
        <v>33</v>
      </c>
      <c r="L636">
        <v>-45503</v>
      </c>
      <c r="M636">
        <v>-4</v>
      </c>
      <c r="N636">
        <v>-12</v>
      </c>
      <c r="O636">
        <v>-12</v>
      </c>
    </row>
    <row r="637" spans="1:15" x14ac:dyDescent="0.3">
      <c r="A637" s="1">
        <v>42273</v>
      </c>
      <c r="B637">
        <v>351320</v>
      </c>
      <c r="C637">
        <v>397627</v>
      </c>
      <c r="D637">
        <v>10528</v>
      </c>
      <c r="E637">
        <v>2015</v>
      </c>
      <c r="F637">
        <v>9</v>
      </c>
      <c r="G637" t="s">
        <v>31</v>
      </c>
      <c r="H637">
        <v>3</v>
      </c>
      <c r="I637">
        <v>26</v>
      </c>
      <c r="J637" t="s">
        <v>22</v>
      </c>
      <c r="K637">
        <v>33</v>
      </c>
      <c r="L637">
        <v>-46307</v>
      </c>
      <c r="M637">
        <v>-4</v>
      </c>
      <c r="N637">
        <v>-13</v>
      </c>
      <c r="O637">
        <v>-13</v>
      </c>
    </row>
    <row r="638" spans="1:15" x14ac:dyDescent="0.3">
      <c r="A638" s="1">
        <v>42274</v>
      </c>
      <c r="B638">
        <v>163290</v>
      </c>
      <c r="C638">
        <v>185404</v>
      </c>
      <c r="D638">
        <v>4895</v>
      </c>
      <c r="E638">
        <v>2015</v>
      </c>
      <c r="F638">
        <v>9</v>
      </c>
      <c r="G638" t="s">
        <v>31</v>
      </c>
      <c r="H638">
        <v>3</v>
      </c>
      <c r="I638">
        <v>27</v>
      </c>
      <c r="J638" t="s">
        <v>23</v>
      </c>
      <c r="K638">
        <v>33</v>
      </c>
      <c r="L638">
        <v>-22114</v>
      </c>
      <c r="M638">
        <v>-5</v>
      </c>
      <c r="N638">
        <v>-14</v>
      </c>
      <c r="O638">
        <v>-14</v>
      </c>
    </row>
    <row r="639" spans="1:15" x14ac:dyDescent="0.3">
      <c r="A639" s="1">
        <v>42275</v>
      </c>
      <c r="B639">
        <v>190892</v>
      </c>
      <c r="C639">
        <v>216571</v>
      </c>
      <c r="D639">
        <v>5720</v>
      </c>
      <c r="E639">
        <v>2015</v>
      </c>
      <c r="F639">
        <v>9</v>
      </c>
      <c r="G639" t="s">
        <v>31</v>
      </c>
      <c r="H639">
        <v>3</v>
      </c>
      <c r="I639">
        <v>28</v>
      </c>
      <c r="J639" t="s">
        <v>16</v>
      </c>
      <c r="K639">
        <v>33</v>
      </c>
      <c r="L639">
        <v>-25679</v>
      </c>
      <c r="M639">
        <v>-4</v>
      </c>
      <c r="N639">
        <v>-13</v>
      </c>
      <c r="O639">
        <v>-13</v>
      </c>
    </row>
    <row r="640" spans="1:15" x14ac:dyDescent="0.3">
      <c r="A640" s="1">
        <v>42276</v>
      </c>
      <c r="B640">
        <v>143082</v>
      </c>
      <c r="C640">
        <v>162929</v>
      </c>
      <c r="D640">
        <v>4288</v>
      </c>
      <c r="E640">
        <v>2015</v>
      </c>
      <c r="F640">
        <v>9</v>
      </c>
      <c r="G640" t="s">
        <v>31</v>
      </c>
      <c r="H640">
        <v>3</v>
      </c>
      <c r="I640">
        <v>29</v>
      </c>
      <c r="J640" t="s">
        <v>17</v>
      </c>
      <c r="K640">
        <v>33</v>
      </c>
      <c r="L640">
        <v>-19847</v>
      </c>
      <c r="M640">
        <v>-5</v>
      </c>
      <c r="N640">
        <v>-14</v>
      </c>
      <c r="O640">
        <v>-14</v>
      </c>
    </row>
    <row r="641" spans="1:15" x14ac:dyDescent="0.3">
      <c r="A641" s="1">
        <v>42277</v>
      </c>
      <c r="B641">
        <v>323549</v>
      </c>
      <c r="C641">
        <v>368435</v>
      </c>
      <c r="D641">
        <v>9693</v>
      </c>
      <c r="E641">
        <v>2015</v>
      </c>
      <c r="F641">
        <v>9</v>
      </c>
      <c r="G641" t="s">
        <v>31</v>
      </c>
      <c r="H641">
        <v>3</v>
      </c>
      <c r="I641">
        <v>30</v>
      </c>
      <c r="J641" t="s">
        <v>19</v>
      </c>
      <c r="K641">
        <v>33</v>
      </c>
      <c r="L641">
        <v>-44886</v>
      </c>
      <c r="M641">
        <v>-5</v>
      </c>
      <c r="N641">
        <v>-14</v>
      </c>
      <c r="O641">
        <v>-14</v>
      </c>
    </row>
    <row r="642" spans="1:15" x14ac:dyDescent="0.3">
      <c r="A642" s="1">
        <v>42278</v>
      </c>
      <c r="B642">
        <v>402312</v>
      </c>
      <c r="C642">
        <v>459286</v>
      </c>
      <c r="D642">
        <v>12065</v>
      </c>
      <c r="E642">
        <v>2015</v>
      </c>
      <c r="F642">
        <v>10</v>
      </c>
      <c r="G642" t="s">
        <v>32</v>
      </c>
      <c r="H642">
        <v>4</v>
      </c>
      <c r="I642">
        <v>1</v>
      </c>
      <c r="J642" t="s">
        <v>20</v>
      </c>
      <c r="K642">
        <v>33</v>
      </c>
      <c r="L642">
        <v>-56973</v>
      </c>
      <c r="M642">
        <v>-5</v>
      </c>
      <c r="N642">
        <v>-14</v>
      </c>
      <c r="O642">
        <v>-14</v>
      </c>
    </row>
    <row r="643" spans="1:15" x14ac:dyDescent="0.3">
      <c r="A643" s="1">
        <v>42279</v>
      </c>
      <c r="B643">
        <v>393635</v>
      </c>
      <c r="C643">
        <v>448391</v>
      </c>
      <c r="D643">
        <v>11758</v>
      </c>
      <c r="E643">
        <v>2015</v>
      </c>
      <c r="F643">
        <v>10</v>
      </c>
      <c r="G643" t="s">
        <v>32</v>
      </c>
      <c r="H643">
        <v>4</v>
      </c>
      <c r="I643">
        <v>2</v>
      </c>
      <c r="J643" t="s">
        <v>21</v>
      </c>
      <c r="K643">
        <v>33</v>
      </c>
      <c r="L643">
        <v>-54756</v>
      </c>
      <c r="M643">
        <v>-5</v>
      </c>
      <c r="N643">
        <v>-14</v>
      </c>
      <c r="O643">
        <v>-14</v>
      </c>
    </row>
    <row r="644" spans="1:15" x14ac:dyDescent="0.3">
      <c r="A644" s="1">
        <v>42280</v>
      </c>
      <c r="B644">
        <v>451100</v>
      </c>
      <c r="C644">
        <v>515549</v>
      </c>
      <c r="D644">
        <v>13508</v>
      </c>
      <c r="E644">
        <v>2015</v>
      </c>
      <c r="F644">
        <v>10</v>
      </c>
      <c r="G644" t="s">
        <v>32</v>
      </c>
      <c r="H644">
        <v>4</v>
      </c>
      <c r="I644">
        <v>3</v>
      </c>
      <c r="J644" t="s">
        <v>22</v>
      </c>
      <c r="K644">
        <v>33</v>
      </c>
      <c r="L644">
        <v>-64449</v>
      </c>
      <c r="M644">
        <v>-5</v>
      </c>
      <c r="N644">
        <v>-14</v>
      </c>
      <c r="O644">
        <v>-14</v>
      </c>
    </row>
    <row r="645" spans="1:15" x14ac:dyDescent="0.3">
      <c r="A645" s="1">
        <v>42281</v>
      </c>
      <c r="B645">
        <v>202903</v>
      </c>
      <c r="C645">
        <v>232360</v>
      </c>
      <c r="D645">
        <v>6085</v>
      </c>
      <c r="E645">
        <v>2015</v>
      </c>
      <c r="F645">
        <v>10</v>
      </c>
      <c r="G645" t="s">
        <v>32</v>
      </c>
      <c r="H645">
        <v>4</v>
      </c>
      <c r="I645">
        <v>4</v>
      </c>
      <c r="J645" t="s">
        <v>23</v>
      </c>
      <c r="K645">
        <v>33</v>
      </c>
      <c r="L645">
        <v>-29458</v>
      </c>
      <c r="M645">
        <v>-5</v>
      </c>
      <c r="N645">
        <v>-15</v>
      </c>
      <c r="O645">
        <v>-15</v>
      </c>
    </row>
    <row r="646" spans="1:15" x14ac:dyDescent="0.3">
      <c r="A646" s="1">
        <v>42282</v>
      </c>
      <c r="B646">
        <v>294558</v>
      </c>
      <c r="C646">
        <v>336898</v>
      </c>
      <c r="D646">
        <v>8828</v>
      </c>
      <c r="E646">
        <v>2015</v>
      </c>
      <c r="F646">
        <v>10</v>
      </c>
      <c r="G646" t="s">
        <v>32</v>
      </c>
      <c r="H646">
        <v>4</v>
      </c>
      <c r="I646">
        <v>5</v>
      </c>
      <c r="J646" t="s">
        <v>16</v>
      </c>
      <c r="K646">
        <v>33</v>
      </c>
      <c r="L646">
        <v>-42340</v>
      </c>
      <c r="M646">
        <v>-5</v>
      </c>
      <c r="N646">
        <v>-14</v>
      </c>
      <c r="O646">
        <v>-14</v>
      </c>
    </row>
    <row r="647" spans="1:15" x14ac:dyDescent="0.3">
      <c r="A647" s="1">
        <v>42283</v>
      </c>
      <c r="B647">
        <v>221618</v>
      </c>
      <c r="C647">
        <v>253291</v>
      </c>
      <c r="D647">
        <v>6636</v>
      </c>
      <c r="E647">
        <v>2015</v>
      </c>
      <c r="F647">
        <v>10</v>
      </c>
      <c r="G647" t="s">
        <v>32</v>
      </c>
      <c r="H647">
        <v>4</v>
      </c>
      <c r="I647">
        <v>6</v>
      </c>
      <c r="J647" t="s">
        <v>17</v>
      </c>
      <c r="K647">
        <v>33</v>
      </c>
      <c r="L647">
        <v>-31673</v>
      </c>
      <c r="M647">
        <v>-5</v>
      </c>
      <c r="N647">
        <v>-14</v>
      </c>
      <c r="O647">
        <v>-14</v>
      </c>
    </row>
    <row r="648" spans="1:15" x14ac:dyDescent="0.3">
      <c r="A648" s="1">
        <v>42284</v>
      </c>
      <c r="B648">
        <v>63968</v>
      </c>
      <c r="C648">
        <v>61943</v>
      </c>
      <c r="D648">
        <v>1622</v>
      </c>
      <c r="E648">
        <v>2015</v>
      </c>
      <c r="F648">
        <v>10</v>
      </c>
      <c r="G648" t="s">
        <v>32</v>
      </c>
      <c r="H648">
        <v>4</v>
      </c>
      <c r="I648">
        <v>7</v>
      </c>
      <c r="J648" t="s">
        <v>19</v>
      </c>
      <c r="K648">
        <v>39</v>
      </c>
      <c r="L648">
        <v>2026</v>
      </c>
      <c r="M648">
        <v>1</v>
      </c>
      <c r="N648">
        <v>3</v>
      </c>
      <c r="O648">
        <v>3</v>
      </c>
    </row>
    <row r="649" spans="1:15" x14ac:dyDescent="0.3">
      <c r="A649" s="1">
        <v>42285</v>
      </c>
      <c r="B649">
        <v>59610</v>
      </c>
      <c r="C649">
        <v>57736</v>
      </c>
      <c r="D649">
        <v>1512</v>
      </c>
      <c r="E649">
        <v>2015</v>
      </c>
      <c r="F649">
        <v>10</v>
      </c>
      <c r="G649" t="s">
        <v>32</v>
      </c>
      <c r="H649">
        <v>4</v>
      </c>
      <c r="I649">
        <v>8</v>
      </c>
      <c r="J649" t="s">
        <v>20</v>
      </c>
      <c r="K649">
        <v>39</v>
      </c>
      <c r="L649">
        <v>1873</v>
      </c>
      <c r="M649">
        <v>1</v>
      </c>
      <c r="N649">
        <v>3</v>
      </c>
      <c r="O649">
        <v>3</v>
      </c>
    </row>
    <row r="650" spans="1:15" x14ac:dyDescent="0.3">
      <c r="A650" s="1">
        <v>42286</v>
      </c>
      <c r="B650">
        <v>126588</v>
      </c>
      <c r="C650">
        <v>122622</v>
      </c>
      <c r="D650">
        <v>3211</v>
      </c>
      <c r="E650">
        <v>2015</v>
      </c>
      <c r="F650">
        <v>10</v>
      </c>
      <c r="G650" t="s">
        <v>32</v>
      </c>
      <c r="H650">
        <v>4</v>
      </c>
      <c r="I650">
        <v>9</v>
      </c>
      <c r="J650" t="s">
        <v>21</v>
      </c>
      <c r="K650">
        <v>39</v>
      </c>
      <c r="L650">
        <v>3966</v>
      </c>
      <c r="M650">
        <v>1</v>
      </c>
      <c r="N650">
        <v>3</v>
      </c>
      <c r="O650">
        <v>3</v>
      </c>
    </row>
    <row r="651" spans="1:15" x14ac:dyDescent="0.3">
      <c r="A651" s="1">
        <v>42287</v>
      </c>
      <c r="B651">
        <v>119755</v>
      </c>
      <c r="C651">
        <v>116004</v>
      </c>
      <c r="D651">
        <v>3037</v>
      </c>
      <c r="E651">
        <v>2015</v>
      </c>
      <c r="F651">
        <v>10</v>
      </c>
      <c r="G651" t="s">
        <v>32</v>
      </c>
      <c r="H651">
        <v>4</v>
      </c>
      <c r="I651">
        <v>10</v>
      </c>
      <c r="J651" t="s">
        <v>22</v>
      </c>
      <c r="K651">
        <v>39</v>
      </c>
      <c r="L651">
        <v>3751</v>
      </c>
      <c r="M651">
        <v>1</v>
      </c>
      <c r="N651">
        <v>3</v>
      </c>
      <c r="O651">
        <v>3</v>
      </c>
    </row>
    <row r="652" spans="1:15" x14ac:dyDescent="0.3">
      <c r="A652" s="1">
        <v>42288</v>
      </c>
      <c r="B652">
        <v>57413</v>
      </c>
      <c r="C652">
        <v>55618</v>
      </c>
      <c r="D652">
        <v>1456</v>
      </c>
      <c r="E652">
        <v>2015</v>
      </c>
      <c r="F652">
        <v>10</v>
      </c>
      <c r="G652" t="s">
        <v>32</v>
      </c>
      <c r="H652">
        <v>4</v>
      </c>
      <c r="I652">
        <v>11</v>
      </c>
      <c r="J652" t="s">
        <v>23</v>
      </c>
      <c r="K652">
        <v>39</v>
      </c>
      <c r="L652">
        <v>1796</v>
      </c>
      <c r="M652">
        <v>1</v>
      </c>
      <c r="N652">
        <v>3</v>
      </c>
      <c r="O652">
        <v>3</v>
      </c>
    </row>
    <row r="653" spans="1:15" x14ac:dyDescent="0.3">
      <c r="A653" s="1">
        <v>42289</v>
      </c>
      <c r="B653">
        <v>57749</v>
      </c>
      <c r="C653">
        <v>55933</v>
      </c>
      <c r="D653">
        <v>1465</v>
      </c>
      <c r="E653">
        <v>2015</v>
      </c>
      <c r="F653">
        <v>10</v>
      </c>
      <c r="G653" t="s">
        <v>32</v>
      </c>
      <c r="H653">
        <v>4</v>
      </c>
      <c r="I653">
        <v>12</v>
      </c>
      <c r="J653" t="s">
        <v>16</v>
      </c>
      <c r="K653">
        <v>39</v>
      </c>
      <c r="L653">
        <v>1816</v>
      </c>
      <c r="M653">
        <v>1</v>
      </c>
      <c r="N653">
        <v>3</v>
      </c>
      <c r="O653">
        <v>3</v>
      </c>
    </row>
    <row r="654" spans="1:15" x14ac:dyDescent="0.3">
      <c r="A654" s="1">
        <v>42290</v>
      </c>
      <c r="B654">
        <v>40141</v>
      </c>
      <c r="C654">
        <v>38881</v>
      </c>
      <c r="D654">
        <v>1018</v>
      </c>
      <c r="E654">
        <v>2015</v>
      </c>
      <c r="F654">
        <v>10</v>
      </c>
      <c r="G654" t="s">
        <v>32</v>
      </c>
      <c r="H654">
        <v>4</v>
      </c>
      <c r="I654">
        <v>13</v>
      </c>
      <c r="J654" t="s">
        <v>17</v>
      </c>
      <c r="K654">
        <v>39</v>
      </c>
      <c r="L654">
        <v>1260</v>
      </c>
      <c r="M654">
        <v>1</v>
      </c>
      <c r="N654">
        <v>3</v>
      </c>
      <c r="O654">
        <v>3</v>
      </c>
    </row>
    <row r="655" spans="1:15" x14ac:dyDescent="0.3">
      <c r="A655" s="1">
        <v>42291</v>
      </c>
      <c r="B655">
        <v>42196</v>
      </c>
      <c r="C655">
        <v>40869</v>
      </c>
      <c r="D655">
        <v>1070</v>
      </c>
      <c r="E655">
        <v>2015</v>
      </c>
      <c r="F655">
        <v>10</v>
      </c>
      <c r="G655" t="s">
        <v>32</v>
      </c>
      <c r="H655">
        <v>4</v>
      </c>
      <c r="I655">
        <v>14</v>
      </c>
      <c r="J655" t="s">
        <v>19</v>
      </c>
      <c r="K655">
        <v>39</v>
      </c>
      <c r="L655">
        <v>1327</v>
      </c>
      <c r="M655">
        <v>1</v>
      </c>
      <c r="N655">
        <v>3</v>
      </c>
      <c r="O655">
        <v>3</v>
      </c>
    </row>
    <row r="656" spans="1:15" x14ac:dyDescent="0.3">
      <c r="A656" s="1">
        <v>42292</v>
      </c>
      <c r="B656">
        <v>53491</v>
      </c>
      <c r="C656">
        <v>51799</v>
      </c>
      <c r="D656">
        <v>1357</v>
      </c>
      <c r="E656">
        <v>2015</v>
      </c>
      <c r="F656">
        <v>10</v>
      </c>
      <c r="G656" t="s">
        <v>32</v>
      </c>
      <c r="H656">
        <v>4</v>
      </c>
      <c r="I656">
        <v>15</v>
      </c>
      <c r="J656" t="s">
        <v>20</v>
      </c>
      <c r="K656">
        <v>39</v>
      </c>
      <c r="L656">
        <v>1692</v>
      </c>
      <c r="M656">
        <v>1</v>
      </c>
      <c r="N656">
        <v>3</v>
      </c>
      <c r="O656">
        <v>3</v>
      </c>
    </row>
    <row r="657" spans="1:15" x14ac:dyDescent="0.3">
      <c r="A657" s="1">
        <v>42293</v>
      </c>
      <c r="B657">
        <v>110809</v>
      </c>
      <c r="C657">
        <v>107332</v>
      </c>
      <c r="D657">
        <v>2810</v>
      </c>
      <c r="E657">
        <v>2015</v>
      </c>
      <c r="F657">
        <v>10</v>
      </c>
      <c r="G657" t="s">
        <v>32</v>
      </c>
      <c r="H657">
        <v>4</v>
      </c>
      <c r="I657">
        <v>16</v>
      </c>
      <c r="J657" t="s">
        <v>21</v>
      </c>
      <c r="K657">
        <v>39</v>
      </c>
      <c r="L657">
        <v>3477</v>
      </c>
      <c r="M657">
        <v>1</v>
      </c>
      <c r="N657">
        <v>3</v>
      </c>
      <c r="O657">
        <v>3</v>
      </c>
    </row>
    <row r="658" spans="1:15" x14ac:dyDescent="0.3">
      <c r="A658" s="1">
        <v>42294</v>
      </c>
      <c r="B658">
        <v>111527</v>
      </c>
      <c r="C658">
        <v>108024</v>
      </c>
      <c r="D658">
        <v>2829</v>
      </c>
      <c r="E658">
        <v>2015</v>
      </c>
      <c r="F658">
        <v>10</v>
      </c>
      <c r="G658" t="s">
        <v>32</v>
      </c>
      <c r="H658">
        <v>4</v>
      </c>
      <c r="I658">
        <v>17</v>
      </c>
      <c r="J658" t="s">
        <v>22</v>
      </c>
      <c r="K658">
        <v>39</v>
      </c>
      <c r="L658">
        <v>3503</v>
      </c>
      <c r="M658">
        <v>1</v>
      </c>
      <c r="N658">
        <v>3</v>
      </c>
      <c r="O658">
        <v>3</v>
      </c>
    </row>
    <row r="659" spans="1:15" x14ac:dyDescent="0.3">
      <c r="A659" s="1">
        <v>42295</v>
      </c>
      <c r="B659">
        <v>59808</v>
      </c>
      <c r="C659">
        <v>57937</v>
      </c>
      <c r="D659">
        <v>1517</v>
      </c>
      <c r="E659">
        <v>2015</v>
      </c>
      <c r="F659">
        <v>10</v>
      </c>
      <c r="G659" t="s">
        <v>32</v>
      </c>
      <c r="H659">
        <v>4</v>
      </c>
      <c r="I659">
        <v>18</v>
      </c>
      <c r="J659" t="s">
        <v>23</v>
      </c>
      <c r="K659">
        <v>39</v>
      </c>
      <c r="L659">
        <v>1871</v>
      </c>
      <c r="M659">
        <v>1</v>
      </c>
      <c r="N659">
        <v>3</v>
      </c>
      <c r="O659">
        <v>3</v>
      </c>
    </row>
    <row r="660" spans="1:15" x14ac:dyDescent="0.3">
      <c r="A660" s="1">
        <v>42296</v>
      </c>
      <c r="B660">
        <v>55166</v>
      </c>
      <c r="C660">
        <v>53437</v>
      </c>
      <c r="D660">
        <v>1399</v>
      </c>
      <c r="E660">
        <v>2015</v>
      </c>
      <c r="F660">
        <v>10</v>
      </c>
      <c r="G660" t="s">
        <v>32</v>
      </c>
      <c r="H660">
        <v>4</v>
      </c>
      <c r="I660">
        <v>19</v>
      </c>
      <c r="J660" t="s">
        <v>16</v>
      </c>
      <c r="K660">
        <v>39</v>
      </c>
      <c r="L660">
        <v>1729</v>
      </c>
      <c r="M660">
        <v>1</v>
      </c>
      <c r="N660">
        <v>3</v>
      </c>
      <c r="O660">
        <v>3</v>
      </c>
    </row>
    <row r="661" spans="1:15" x14ac:dyDescent="0.3">
      <c r="A661" s="1">
        <v>42297</v>
      </c>
      <c r="B661">
        <v>42055</v>
      </c>
      <c r="C661">
        <v>40736</v>
      </c>
      <c r="D661">
        <v>1067</v>
      </c>
      <c r="E661">
        <v>2015</v>
      </c>
      <c r="F661">
        <v>10</v>
      </c>
      <c r="G661" t="s">
        <v>32</v>
      </c>
      <c r="H661">
        <v>4</v>
      </c>
      <c r="I661">
        <v>20</v>
      </c>
      <c r="J661" t="s">
        <v>17</v>
      </c>
      <c r="K661">
        <v>39</v>
      </c>
      <c r="L661">
        <v>1319</v>
      </c>
      <c r="M661">
        <v>1</v>
      </c>
      <c r="N661">
        <v>3</v>
      </c>
      <c r="O661">
        <v>3</v>
      </c>
    </row>
    <row r="662" spans="1:15" x14ac:dyDescent="0.3">
      <c r="A662" s="1">
        <v>42298</v>
      </c>
      <c r="B662">
        <v>53678</v>
      </c>
      <c r="C662">
        <v>52000</v>
      </c>
      <c r="D662">
        <v>1361</v>
      </c>
      <c r="E662">
        <v>2015</v>
      </c>
      <c r="F662">
        <v>10</v>
      </c>
      <c r="G662" t="s">
        <v>32</v>
      </c>
      <c r="H662">
        <v>4</v>
      </c>
      <c r="I662">
        <v>21</v>
      </c>
      <c r="J662" t="s">
        <v>19</v>
      </c>
      <c r="K662">
        <v>39</v>
      </c>
      <c r="L662">
        <v>1678</v>
      </c>
      <c r="M662">
        <v>1</v>
      </c>
      <c r="N662">
        <v>3</v>
      </c>
      <c r="O662">
        <v>3</v>
      </c>
    </row>
    <row r="663" spans="1:15" x14ac:dyDescent="0.3">
      <c r="A663" s="1">
        <v>42299</v>
      </c>
      <c r="B663">
        <v>55930</v>
      </c>
      <c r="C663">
        <v>54178</v>
      </c>
      <c r="D663">
        <v>1419</v>
      </c>
      <c r="E663">
        <v>2015</v>
      </c>
      <c r="F663">
        <v>10</v>
      </c>
      <c r="G663" t="s">
        <v>32</v>
      </c>
      <c r="H663">
        <v>4</v>
      </c>
      <c r="I663">
        <v>22</v>
      </c>
      <c r="J663" t="s">
        <v>20</v>
      </c>
      <c r="K663">
        <v>39</v>
      </c>
      <c r="L663">
        <v>1752</v>
      </c>
      <c r="M663">
        <v>1</v>
      </c>
      <c r="N663">
        <v>3</v>
      </c>
      <c r="O663">
        <v>3</v>
      </c>
    </row>
    <row r="664" spans="1:15" x14ac:dyDescent="0.3">
      <c r="A664" s="1">
        <v>42300</v>
      </c>
      <c r="B664">
        <v>185771</v>
      </c>
      <c r="C664">
        <v>192527</v>
      </c>
      <c r="D664">
        <v>5042</v>
      </c>
      <c r="E664">
        <v>2015</v>
      </c>
      <c r="F664">
        <v>10</v>
      </c>
      <c r="G664" t="s">
        <v>32</v>
      </c>
      <c r="H664">
        <v>4</v>
      </c>
      <c r="I664">
        <v>23</v>
      </c>
      <c r="J664" t="s">
        <v>21</v>
      </c>
      <c r="K664">
        <v>37</v>
      </c>
      <c r="L664">
        <v>-6756</v>
      </c>
      <c r="M664">
        <v>-1</v>
      </c>
      <c r="N664">
        <v>-4</v>
      </c>
      <c r="O664">
        <v>-4</v>
      </c>
    </row>
    <row r="665" spans="1:15" x14ac:dyDescent="0.3">
      <c r="A665" s="1">
        <v>42301</v>
      </c>
      <c r="B665">
        <v>253117</v>
      </c>
      <c r="C665">
        <v>262410</v>
      </c>
      <c r="D665">
        <v>6872</v>
      </c>
      <c r="E665">
        <v>2015</v>
      </c>
      <c r="F665">
        <v>10</v>
      </c>
      <c r="G665" t="s">
        <v>32</v>
      </c>
      <c r="H665">
        <v>4</v>
      </c>
      <c r="I665">
        <v>24</v>
      </c>
      <c r="J665" t="s">
        <v>22</v>
      </c>
      <c r="K665">
        <v>37</v>
      </c>
      <c r="L665">
        <v>-9293</v>
      </c>
      <c r="M665">
        <v>-1</v>
      </c>
      <c r="N665">
        <v>-4</v>
      </c>
      <c r="O665">
        <v>-4</v>
      </c>
    </row>
    <row r="666" spans="1:15" x14ac:dyDescent="0.3">
      <c r="A666" s="1">
        <v>42302</v>
      </c>
      <c r="B666">
        <v>118618</v>
      </c>
      <c r="C666">
        <v>122915</v>
      </c>
      <c r="D666">
        <v>3218</v>
      </c>
      <c r="E666">
        <v>2015</v>
      </c>
      <c r="F666">
        <v>10</v>
      </c>
      <c r="G666" t="s">
        <v>32</v>
      </c>
      <c r="H666">
        <v>4</v>
      </c>
      <c r="I666">
        <v>25</v>
      </c>
      <c r="J666" t="s">
        <v>23</v>
      </c>
      <c r="K666">
        <v>37</v>
      </c>
      <c r="L666">
        <v>-4297</v>
      </c>
      <c r="M666">
        <v>-1</v>
      </c>
      <c r="N666">
        <v>-4</v>
      </c>
      <c r="O666">
        <v>-4</v>
      </c>
    </row>
    <row r="667" spans="1:15" x14ac:dyDescent="0.3">
      <c r="A667" s="1">
        <v>42303</v>
      </c>
      <c r="B667">
        <v>123321</v>
      </c>
      <c r="C667">
        <v>128134</v>
      </c>
      <c r="D667">
        <v>3347</v>
      </c>
      <c r="E667">
        <v>2015</v>
      </c>
      <c r="F667">
        <v>10</v>
      </c>
      <c r="G667" t="s">
        <v>32</v>
      </c>
      <c r="H667">
        <v>4</v>
      </c>
      <c r="I667">
        <v>26</v>
      </c>
      <c r="J667" t="s">
        <v>16</v>
      </c>
      <c r="K667">
        <v>37</v>
      </c>
      <c r="L667">
        <v>-4813</v>
      </c>
      <c r="M667">
        <v>-1</v>
      </c>
      <c r="N667">
        <v>-4</v>
      </c>
      <c r="O667">
        <v>-4</v>
      </c>
    </row>
    <row r="668" spans="1:15" x14ac:dyDescent="0.3">
      <c r="A668" s="1">
        <v>42304</v>
      </c>
      <c r="B668">
        <v>117051</v>
      </c>
      <c r="C668">
        <v>122175</v>
      </c>
      <c r="D668">
        <v>3177</v>
      </c>
      <c r="E668">
        <v>2015</v>
      </c>
      <c r="F668">
        <v>10</v>
      </c>
      <c r="G668" t="s">
        <v>32</v>
      </c>
      <c r="H668">
        <v>4</v>
      </c>
      <c r="I668">
        <v>27</v>
      </c>
      <c r="J668" t="s">
        <v>17</v>
      </c>
      <c r="K668">
        <v>37</v>
      </c>
      <c r="L668">
        <v>-5124</v>
      </c>
      <c r="M668">
        <v>-2</v>
      </c>
      <c r="N668">
        <v>-4</v>
      </c>
      <c r="O668">
        <v>-4</v>
      </c>
    </row>
    <row r="669" spans="1:15" x14ac:dyDescent="0.3">
      <c r="A669" s="1">
        <v>42305</v>
      </c>
      <c r="B669">
        <v>159300</v>
      </c>
      <c r="C669">
        <v>174699</v>
      </c>
      <c r="D669">
        <v>4532</v>
      </c>
      <c r="E669">
        <v>2015</v>
      </c>
      <c r="F669">
        <v>10</v>
      </c>
      <c r="G669" t="s">
        <v>32</v>
      </c>
      <c r="H669">
        <v>4</v>
      </c>
      <c r="I669">
        <v>28</v>
      </c>
      <c r="J669" t="s">
        <v>19</v>
      </c>
      <c r="K669">
        <v>35</v>
      </c>
      <c r="L669">
        <v>-15399</v>
      </c>
      <c r="M669">
        <v>-3</v>
      </c>
      <c r="N669">
        <v>-10</v>
      </c>
      <c r="O669">
        <v>-10</v>
      </c>
    </row>
    <row r="670" spans="1:15" x14ac:dyDescent="0.3">
      <c r="A670" s="1">
        <v>42306</v>
      </c>
      <c r="B670">
        <v>119047</v>
      </c>
      <c r="C670">
        <v>124349</v>
      </c>
      <c r="D670">
        <v>3231</v>
      </c>
      <c r="E670">
        <v>2015</v>
      </c>
      <c r="F670">
        <v>10</v>
      </c>
      <c r="G670" t="s">
        <v>32</v>
      </c>
      <c r="H670">
        <v>4</v>
      </c>
      <c r="I670">
        <v>29</v>
      </c>
      <c r="J670" t="s">
        <v>20</v>
      </c>
      <c r="K670">
        <v>37</v>
      </c>
      <c r="L670">
        <v>-5302</v>
      </c>
      <c r="M670">
        <v>-2</v>
      </c>
      <c r="N670">
        <v>-4</v>
      </c>
      <c r="O670">
        <v>-4</v>
      </c>
    </row>
    <row r="671" spans="1:15" x14ac:dyDescent="0.3">
      <c r="A671" s="1">
        <v>42307</v>
      </c>
      <c r="B671">
        <v>285082</v>
      </c>
      <c r="C671">
        <v>297628</v>
      </c>
      <c r="D671">
        <v>7731</v>
      </c>
      <c r="E671">
        <v>2015</v>
      </c>
      <c r="F671">
        <v>10</v>
      </c>
      <c r="G671" t="s">
        <v>32</v>
      </c>
      <c r="H671">
        <v>4</v>
      </c>
      <c r="I671">
        <v>30</v>
      </c>
      <c r="J671" t="s">
        <v>21</v>
      </c>
      <c r="K671">
        <v>37</v>
      </c>
      <c r="L671">
        <v>-12546</v>
      </c>
      <c r="M671">
        <v>-2</v>
      </c>
      <c r="N671">
        <v>-4</v>
      </c>
      <c r="O671">
        <v>-4</v>
      </c>
    </row>
    <row r="672" spans="1:15" x14ac:dyDescent="0.3">
      <c r="A672" s="1">
        <v>42308</v>
      </c>
      <c r="B672">
        <v>391656</v>
      </c>
      <c r="C672">
        <v>429833</v>
      </c>
      <c r="D672">
        <v>11148</v>
      </c>
      <c r="E672">
        <v>2015</v>
      </c>
      <c r="F672">
        <v>10</v>
      </c>
      <c r="G672" t="s">
        <v>32</v>
      </c>
      <c r="H672">
        <v>4</v>
      </c>
      <c r="I672">
        <v>31</v>
      </c>
      <c r="J672" t="s">
        <v>22</v>
      </c>
      <c r="K672">
        <v>35</v>
      </c>
      <c r="L672">
        <v>-38177</v>
      </c>
      <c r="M672">
        <v>-3</v>
      </c>
      <c r="N672">
        <v>-10</v>
      </c>
      <c r="O672">
        <v>-10</v>
      </c>
    </row>
    <row r="673" spans="1:15" x14ac:dyDescent="0.3">
      <c r="A673" s="1">
        <v>42309</v>
      </c>
      <c r="B673">
        <v>274815</v>
      </c>
      <c r="C673">
        <v>287978</v>
      </c>
      <c r="D673">
        <v>7459</v>
      </c>
      <c r="E673">
        <v>2015</v>
      </c>
      <c r="F673">
        <v>11</v>
      </c>
      <c r="G673" t="s">
        <v>33</v>
      </c>
      <c r="H673">
        <v>4</v>
      </c>
      <c r="I673">
        <v>1</v>
      </c>
      <c r="J673" t="s">
        <v>23</v>
      </c>
      <c r="K673">
        <v>37</v>
      </c>
      <c r="L673">
        <v>-13163</v>
      </c>
      <c r="M673">
        <v>-2</v>
      </c>
      <c r="N673">
        <v>-5</v>
      </c>
      <c r="O673">
        <v>-5</v>
      </c>
    </row>
    <row r="674" spans="1:15" x14ac:dyDescent="0.3">
      <c r="A674" s="1">
        <v>42310</v>
      </c>
      <c r="B674">
        <v>269555</v>
      </c>
      <c r="C674">
        <v>281915</v>
      </c>
      <c r="D674">
        <v>7316</v>
      </c>
      <c r="E674">
        <v>2015</v>
      </c>
      <c r="F674">
        <v>11</v>
      </c>
      <c r="G674" t="s">
        <v>33</v>
      </c>
      <c r="H674">
        <v>4</v>
      </c>
      <c r="I674">
        <v>2</v>
      </c>
      <c r="J674" t="s">
        <v>16</v>
      </c>
      <c r="K674">
        <v>37</v>
      </c>
      <c r="L674">
        <v>-12360</v>
      </c>
      <c r="M674">
        <v>-2</v>
      </c>
      <c r="N674">
        <v>-5</v>
      </c>
      <c r="O674">
        <v>-5</v>
      </c>
    </row>
    <row r="675" spans="1:15" x14ac:dyDescent="0.3">
      <c r="A675" s="1">
        <v>42311</v>
      </c>
      <c r="B675">
        <v>192001</v>
      </c>
      <c r="C675">
        <v>201126</v>
      </c>
      <c r="D675">
        <v>5211</v>
      </c>
      <c r="E675">
        <v>2015</v>
      </c>
      <c r="F675">
        <v>11</v>
      </c>
      <c r="G675" t="s">
        <v>33</v>
      </c>
      <c r="H675">
        <v>4</v>
      </c>
      <c r="I675">
        <v>3</v>
      </c>
      <c r="J675" t="s">
        <v>17</v>
      </c>
      <c r="K675">
        <v>37</v>
      </c>
      <c r="L675">
        <v>-9125</v>
      </c>
      <c r="M675">
        <v>-2</v>
      </c>
      <c r="N675">
        <v>-5</v>
      </c>
      <c r="O675">
        <v>-5</v>
      </c>
    </row>
    <row r="676" spans="1:15" x14ac:dyDescent="0.3">
      <c r="A676" s="1">
        <v>42312</v>
      </c>
      <c r="B676">
        <v>201368</v>
      </c>
      <c r="C676">
        <v>220580</v>
      </c>
      <c r="D676">
        <v>5731</v>
      </c>
      <c r="E676">
        <v>2015</v>
      </c>
      <c r="F676">
        <v>11</v>
      </c>
      <c r="G676" t="s">
        <v>33</v>
      </c>
      <c r="H676">
        <v>4</v>
      </c>
      <c r="I676">
        <v>4</v>
      </c>
      <c r="J676" t="s">
        <v>19</v>
      </c>
      <c r="K676">
        <v>35</v>
      </c>
      <c r="L676">
        <v>-19212</v>
      </c>
      <c r="M676">
        <v>-3</v>
      </c>
      <c r="N676">
        <v>-10</v>
      </c>
      <c r="O676">
        <v>-10</v>
      </c>
    </row>
    <row r="677" spans="1:15" x14ac:dyDescent="0.3">
      <c r="A677" s="1">
        <v>42313</v>
      </c>
      <c r="B677">
        <v>111875</v>
      </c>
      <c r="C677">
        <v>116637</v>
      </c>
      <c r="D677">
        <v>3036</v>
      </c>
      <c r="E677">
        <v>2015</v>
      </c>
      <c r="F677">
        <v>11</v>
      </c>
      <c r="G677" t="s">
        <v>33</v>
      </c>
      <c r="H677">
        <v>4</v>
      </c>
      <c r="I677">
        <v>5</v>
      </c>
      <c r="J677" t="s">
        <v>20</v>
      </c>
      <c r="K677">
        <v>37</v>
      </c>
      <c r="L677">
        <v>-4762</v>
      </c>
      <c r="M677">
        <v>-2</v>
      </c>
      <c r="N677">
        <v>-4</v>
      </c>
      <c r="O677">
        <v>-4</v>
      </c>
    </row>
    <row r="678" spans="1:15" x14ac:dyDescent="0.3">
      <c r="A678" s="1">
        <v>42314</v>
      </c>
      <c r="B678">
        <v>214540</v>
      </c>
      <c r="C678">
        <v>223738</v>
      </c>
      <c r="D678">
        <v>5822</v>
      </c>
      <c r="E678">
        <v>2015</v>
      </c>
      <c r="F678">
        <v>11</v>
      </c>
      <c r="G678" t="s">
        <v>33</v>
      </c>
      <c r="H678">
        <v>4</v>
      </c>
      <c r="I678">
        <v>6</v>
      </c>
      <c r="J678" t="s">
        <v>21</v>
      </c>
      <c r="K678">
        <v>37</v>
      </c>
      <c r="L678">
        <v>-9198</v>
      </c>
      <c r="M678">
        <v>-2</v>
      </c>
      <c r="N678">
        <v>-4</v>
      </c>
      <c r="O678">
        <v>-4</v>
      </c>
    </row>
    <row r="679" spans="1:15" x14ac:dyDescent="0.3">
      <c r="A679" s="1">
        <v>42315</v>
      </c>
      <c r="B679">
        <v>280264</v>
      </c>
      <c r="C679">
        <v>306935</v>
      </c>
      <c r="D679">
        <v>7987</v>
      </c>
      <c r="E679">
        <v>2015</v>
      </c>
      <c r="F679">
        <v>11</v>
      </c>
      <c r="G679" t="s">
        <v>33</v>
      </c>
      <c r="H679">
        <v>4</v>
      </c>
      <c r="I679">
        <v>7</v>
      </c>
      <c r="J679" t="s">
        <v>22</v>
      </c>
      <c r="K679">
        <v>35</v>
      </c>
      <c r="L679">
        <v>-26671</v>
      </c>
      <c r="M679">
        <v>-3</v>
      </c>
      <c r="N679">
        <v>-10</v>
      </c>
      <c r="O679">
        <v>-10</v>
      </c>
    </row>
    <row r="680" spans="1:15" x14ac:dyDescent="0.3">
      <c r="A680" s="1">
        <v>42316</v>
      </c>
      <c r="B680">
        <v>134137</v>
      </c>
      <c r="C680">
        <v>140236</v>
      </c>
      <c r="D680">
        <v>3640</v>
      </c>
      <c r="E680">
        <v>2015</v>
      </c>
      <c r="F680">
        <v>11</v>
      </c>
      <c r="G680" t="s">
        <v>33</v>
      </c>
      <c r="H680">
        <v>4</v>
      </c>
      <c r="I680">
        <v>8</v>
      </c>
      <c r="J680" t="s">
        <v>23</v>
      </c>
      <c r="K680">
        <v>37</v>
      </c>
      <c r="L680">
        <v>-6100</v>
      </c>
      <c r="M680">
        <v>-2</v>
      </c>
      <c r="N680">
        <v>-5</v>
      </c>
      <c r="O680">
        <v>-5</v>
      </c>
    </row>
    <row r="681" spans="1:15" x14ac:dyDescent="0.3">
      <c r="A681" s="1">
        <v>42317</v>
      </c>
      <c r="B681">
        <v>94243</v>
      </c>
      <c r="C681">
        <v>89949</v>
      </c>
      <c r="D681">
        <v>2338</v>
      </c>
      <c r="E681">
        <v>2015</v>
      </c>
      <c r="F681">
        <v>11</v>
      </c>
      <c r="G681" t="s">
        <v>33</v>
      </c>
      <c r="H681">
        <v>4</v>
      </c>
      <c r="I681">
        <v>9</v>
      </c>
      <c r="J681" t="s">
        <v>16</v>
      </c>
      <c r="K681">
        <v>40</v>
      </c>
      <c r="L681">
        <v>4294</v>
      </c>
      <c r="M681">
        <v>2</v>
      </c>
      <c r="N681">
        <v>5</v>
      </c>
      <c r="O681">
        <v>5</v>
      </c>
    </row>
    <row r="682" spans="1:15" x14ac:dyDescent="0.3">
      <c r="A682" s="1">
        <v>42318</v>
      </c>
      <c r="B682">
        <v>131436</v>
      </c>
      <c r="C682">
        <v>143823</v>
      </c>
      <c r="D682">
        <v>3744</v>
      </c>
      <c r="E682">
        <v>2015</v>
      </c>
      <c r="F682">
        <v>11</v>
      </c>
      <c r="G682" t="s">
        <v>33</v>
      </c>
      <c r="H682">
        <v>4</v>
      </c>
      <c r="I682">
        <v>10</v>
      </c>
      <c r="J682" t="s">
        <v>17</v>
      </c>
      <c r="K682">
        <v>35</v>
      </c>
      <c r="L682">
        <v>-12387</v>
      </c>
      <c r="M682">
        <v>-3</v>
      </c>
      <c r="N682">
        <v>-9</v>
      </c>
      <c r="O682">
        <v>-9</v>
      </c>
    </row>
    <row r="683" spans="1:15" x14ac:dyDescent="0.3">
      <c r="A683" s="1">
        <v>42319</v>
      </c>
      <c r="B683">
        <v>147894</v>
      </c>
      <c r="C683">
        <v>161666</v>
      </c>
      <c r="D683">
        <v>4216</v>
      </c>
      <c r="E683">
        <v>2015</v>
      </c>
      <c r="F683">
        <v>11</v>
      </c>
      <c r="G683" t="s">
        <v>33</v>
      </c>
      <c r="H683">
        <v>4</v>
      </c>
      <c r="I683">
        <v>11</v>
      </c>
      <c r="J683" t="s">
        <v>19</v>
      </c>
      <c r="K683">
        <v>35</v>
      </c>
      <c r="L683">
        <v>-13772</v>
      </c>
      <c r="M683">
        <v>-3</v>
      </c>
      <c r="N683">
        <v>-9</v>
      </c>
      <c r="O683">
        <v>-9</v>
      </c>
    </row>
    <row r="684" spans="1:15" x14ac:dyDescent="0.3">
      <c r="A684" s="1">
        <v>42320</v>
      </c>
      <c r="B684">
        <v>140238</v>
      </c>
      <c r="C684">
        <v>153481</v>
      </c>
      <c r="D684">
        <v>4000</v>
      </c>
      <c r="E684">
        <v>2015</v>
      </c>
      <c r="F684">
        <v>11</v>
      </c>
      <c r="G684" t="s">
        <v>33</v>
      </c>
      <c r="H684">
        <v>4</v>
      </c>
      <c r="I684">
        <v>12</v>
      </c>
      <c r="J684" t="s">
        <v>20</v>
      </c>
      <c r="K684">
        <v>35</v>
      </c>
      <c r="L684">
        <v>-13243</v>
      </c>
      <c r="M684">
        <v>-3</v>
      </c>
      <c r="N684">
        <v>-9</v>
      </c>
      <c r="O684">
        <v>-9</v>
      </c>
    </row>
    <row r="685" spans="1:15" x14ac:dyDescent="0.3">
      <c r="A685" s="1">
        <v>42321</v>
      </c>
      <c r="B685">
        <v>358184</v>
      </c>
      <c r="C685">
        <v>391310</v>
      </c>
      <c r="D685">
        <v>10204</v>
      </c>
      <c r="E685">
        <v>2015</v>
      </c>
      <c r="F685">
        <v>11</v>
      </c>
      <c r="G685" t="s">
        <v>33</v>
      </c>
      <c r="H685">
        <v>4</v>
      </c>
      <c r="I685">
        <v>13</v>
      </c>
      <c r="J685" t="s">
        <v>21</v>
      </c>
      <c r="K685">
        <v>35</v>
      </c>
      <c r="L685">
        <v>-33127</v>
      </c>
      <c r="M685">
        <v>-3</v>
      </c>
      <c r="N685">
        <v>-9</v>
      </c>
      <c r="O685">
        <v>-9</v>
      </c>
    </row>
    <row r="686" spans="1:15" x14ac:dyDescent="0.3">
      <c r="A686" s="1">
        <v>42322</v>
      </c>
      <c r="B686">
        <v>377937</v>
      </c>
      <c r="C686">
        <v>413010</v>
      </c>
      <c r="D686">
        <v>10769</v>
      </c>
      <c r="E686">
        <v>2015</v>
      </c>
      <c r="F686">
        <v>11</v>
      </c>
      <c r="G686" t="s">
        <v>33</v>
      </c>
      <c r="H686">
        <v>4</v>
      </c>
      <c r="I686">
        <v>14</v>
      </c>
      <c r="J686" t="s">
        <v>22</v>
      </c>
      <c r="K686">
        <v>35</v>
      </c>
      <c r="L686">
        <v>-35073</v>
      </c>
      <c r="M686">
        <v>-3</v>
      </c>
      <c r="N686">
        <v>-9</v>
      </c>
      <c r="O686">
        <v>-9</v>
      </c>
    </row>
    <row r="687" spans="1:15" x14ac:dyDescent="0.3">
      <c r="A687" s="1">
        <v>42323</v>
      </c>
      <c r="B687">
        <v>168730</v>
      </c>
      <c r="C687">
        <v>184673</v>
      </c>
      <c r="D687">
        <v>4803</v>
      </c>
      <c r="E687">
        <v>2015</v>
      </c>
      <c r="F687">
        <v>11</v>
      </c>
      <c r="G687" t="s">
        <v>33</v>
      </c>
      <c r="H687">
        <v>4</v>
      </c>
      <c r="I687">
        <v>15</v>
      </c>
      <c r="J687" t="s">
        <v>23</v>
      </c>
      <c r="K687">
        <v>35</v>
      </c>
      <c r="L687">
        <v>-15944</v>
      </c>
      <c r="M687">
        <v>-3</v>
      </c>
      <c r="N687">
        <v>-9</v>
      </c>
      <c r="O687">
        <v>-9</v>
      </c>
    </row>
    <row r="688" spans="1:15" x14ac:dyDescent="0.3">
      <c r="A688" s="1">
        <v>42324</v>
      </c>
      <c r="B688">
        <v>177193</v>
      </c>
      <c r="C688">
        <v>193615</v>
      </c>
      <c r="D688">
        <v>5042</v>
      </c>
      <c r="E688">
        <v>2015</v>
      </c>
      <c r="F688">
        <v>11</v>
      </c>
      <c r="G688" t="s">
        <v>33</v>
      </c>
      <c r="H688">
        <v>4</v>
      </c>
      <c r="I688">
        <v>16</v>
      </c>
      <c r="J688" t="s">
        <v>16</v>
      </c>
      <c r="K688">
        <v>35</v>
      </c>
      <c r="L688">
        <v>-16423</v>
      </c>
      <c r="M688">
        <v>-3</v>
      </c>
      <c r="N688">
        <v>-9</v>
      </c>
      <c r="O688">
        <v>-9</v>
      </c>
    </row>
    <row r="689" spans="1:15" x14ac:dyDescent="0.3">
      <c r="A689" s="1">
        <v>42325</v>
      </c>
      <c r="B689">
        <v>152369</v>
      </c>
      <c r="C689">
        <v>166625</v>
      </c>
      <c r="D689">
        <v>4342</v>
      </c>
      <c r="E689">
        <v>2015</v>
      </c>
      <c r="F689">
        <v>11</v>
      </c>
      <c r="G689" t="s">
        <v>33</v>
      </c>
      <c r="H689">
        <v>4</v>
      </c>
      <c r="I689">
        <v>17</v>
      </c>
      <c r="J689" t="s">
        <v>17</v>
      </c>
      <c r="K689">
        <v>35</v>
      </c>
      <c r="L689">
        <v>-14257</v>
      </c>
      <c r="M689">
        <v>-3</v>
      </c>
      <c r="N689">
        <v>-9</v>
      </c>
      <c r="O689">
        <v>-9</v>
      </c>
    </row>
    <row r="690" spans="1:15" x14ac:dyDescent="0.3">
      <c r="A690" s="1">
        <v>42326</v>
      </c>
      <c r="B690">
        <v>147472</v>
      </c>
      <c r="C690">
        <v>161403</v>
      </c>
      <c r="D690">
        <v>4202</v>
      </c>
      <c r="E690">
        <v>2015</v>
      </c>
      <c r="F690">
        <v>11</v>
      </c>
      <c r="G690" t="s">
        <v>33</v>
      </c>
      <c r="H690">
        <v>4</v>
      </c>
      <c r="I690">
        <v>18</v>
      </c>
      <c r="J690" t="s">
        <v>19</v>
      </c>
      <c r="K690">
        <v>35</v>
      </c>
      <c r="L690">
        <v>-13931</v>
      </c>
      <c r="M690">
        <v>-3</v>
      </c>
      <c r="N690">
        <v>-9</v>
      </c>
      <c r="O690">
        <v>-9</v>
      </c>
    </row>
    <row r="691" spans="1:15" x14ac:dyDescent="0.3">
      <c r="A691" s="1">
        <v>42327</v>
      </c>
      <c r="B691">
        <v>145697</v>
      </c>
      <c r="C691">
        <v>159318</v>
      </c>
      <c r="D691">
        <v>4151</v>
      </c>
      <c r="E691">
        <v>2015</v>
      </c>
      <c r="F691">
        <v>11</v>
      </c>
      <c r="G691" t="s">
        <v>33</v>
      </c>
      <c r="H691">
        <v>4</v>
      </c>
      <c r="I691">
        <v>19</v>
      </c>
      <c r="J691" t="s">
        <v>20</v>
      </c>
      <c r="K691">
        <v>35</v>
      </c>
      <c r="L691">
        <v>-13620</v>
      </c>
      <c r="M691">
        <v>-3</v>
      </c>
      <c r="N691">
        <v>-9</v>
      </c>
      <c r="O691">
        <v>-9</v>
      </c>
    </row>
    <row r="692" spans="1:15" x14ac:dyDescent="0.3">
      <c r="A692" s="1">
        <v>42328</v>
      </c>
      <c r="B692">
        <v>301034</v>
      </c>
      <c r="C692">
        <v>328965</v>
      </c>
      <c r="D692">
        <v>8567</v>
      </c>
      <c r="E692">
        <v>2015</v>
      </c>
      <c r="F692">
        <v>11</v>
      </c>
      <c r="G692" t="s">
        <v>33</v>
      </c>
      <c r="H692">
        <v>4</v>
      </c>
      <c r="I692">
        <v>20</v>
      </c>
      <c r="J692" t="s">
        <v>21</v>
      </c>
      <c r="K692">
        <v>35</v>
      </c>
      <c r="L692">
        <v>-27931</v>
      </c>
      <c r="M692">
        <v>-3</v>
      </c>
      <c r="N692">
        <v>-9</v>
      </c>
      <c r="O692">
        <v>-9</v>
      </c>
    </row>
    <row r="693" spans="1:15" x14ac:dyDescent="0.3">
      <c r="A693" s="1">
        <v>42329</v>
      </c>
      <c r="B693">
        <v>309518</v>
      </c>
      <c r="C693">
        <v>338720</v>
      </c>
      <c r="D693">
        <v>8811</v>
      </c>
      <c r="E693">
        <v>2015</v>
      </c>
      <c r="F693">
        <v>11</v>
      </c>
      <c r="G693" t="s">
        <v>33</v>
      </c>
      <c r="H693">
        <v>4</v>
      </c>
      <c r="I693">
        <v>21</v>
      </c>
      <c r="J693" t="s">
        <v>22</v>
      </c>
      <c r="K693">
        <v>35</v>
      </c>
      <c r="L693">
        <v>-29202</v>
      </c>
      <c r="M693">
        <v>-3</v>
      </c>
      <c r="N693">
        <v>-9</v>
      </c>
      <c r="O693">
        <v>-9</v>
      </c>
    </row>
    <row r="694" spans="1:15" x14ac:dyDescent="0.3">
      <c r="A694" s="1">
        <v>42330</v>
      </c>
      <c r="B694">
        <v>152505</v>
      </c>
      <c r="C694">
        <v>167601</v>
      </c>
      <c r="D694">
        <v>4345</v>
      </c>
      <c r="E694">
        <v>2015</v>
      </c>
      <c r="F694">
        <v>11</v>
      </c>
      <c r="G694" t="s">
        <v>33</v>
      </c>
      <c r="H694">
        <v>4</v>
      </c>
      <c r="I694">
        <v>22</v>
      </c>
      <c r="J694" t="s">
        <v>23</v>
      </c>
      <c r="K694">
        <v>35</v>
      </c>
      <c r="L694">
        <v>-15096</v>
      </c>
      <c r="M694">
        <v>-3</v>
      </c>
      <c r="N694">
        <v>-10</v>
      </c>
      <c r="O694">
        <v>-10</v>
      </c>
    </row>
    <row r="695" spans="1:15" x14ac:dyDescent="0.3">
      <c r="A695" s="1">
        <v>42331</v>
      </c>
      <c r="B695">
        <v>79712</v>
      </c>
      <c r="C695">
        <v>74376</v>
      </c>
      <c r="D695">
        <v>1937</v>
      </c>
      <c r="E695">
        <v>2015</v>
      </c>
      <c r="F695">
        <v>11</v>
      </c>
      <c r="G695" t="s">
        <v>33</v>
      </c>
      <c r="H695">
        <v>4</v>
      </c>
      <c r="I695">
        <v>23</v>
      </c>
      <c r="J695" t="s">
        <v>16</v>
      </c>
      <c r="K695">
        <v>41</v>
      </c>
      <c r="L695">
        <v>5336</v>
      </c>
      <c r="M695">
        <v>3</v>
      </c>
      <c r="N695">
        <v>7</v>
      </c>
      <c r="O695">
        <v>7</v>
      </c>
    </row>
    <row r="696" spans="1:15" x14ac:dyDescent="0.3">
      <c r="A696" s="1">
        <v>42332</v>
      </c>
      <c r="B696">
        <v>111021</v>
      </c>
      <c r="C696">
        <v>121457</v>
      </c>
      <c r="D696">
        <v>3160</v>
      </c>
      <c r="E696">
        <v>2015</v>
      </c>
      <c r="F696">
        <v>11</v>
      </c>
      <c r="G696" t="s">
        <v>33</v>
      </c>
      <c r="H696">
        <v>4</v>
      </c>
      <c r="I696">
        <v>24</v>
      </c>
      <c r="J696" t="s">
        <v>17</v>
      </c>
      <c r="K696">
        <v>35</v>
      </c>
      <c r="L696">
        <v>-10435</v>
      </c>
      <c r="M696">
        <v>-3</v>
      </c>
      <c r="N696">
        <v>-9</v>
      </c>
      <c r="O696">
        <v>-9</v>
      </c>
    </row>
    <row r="697" spans="1:15" x14ac:dyDescent="0.3">
      <c r="A697" s="1">
        <v>42333</v>
      </c>
      <c r="B697">
        <v>243161</v>
      </c>
      <c r="C697">
        <v>266054</v>
      </c>
      <c r="D697">
        <v>6924</v>
      </c>
      <c r="E697">
        <v>2015</v>
      </c>
      <c r="F697">
        <v>11</v>
      </c>
      <c r="G697" t="s">
        <v>33</v>
      </c>
      <c r="H697">
        <v>4</v>
      </c>
      <c r="I697">
        <v>25</v>
      </c>
      <c r="J697" t="s">
        <v>19</v>
      </c>
      <c r="K697">
        <v>35</v>
      </c>
      <c r="L697">
        <v>-22893</v>
      </c>
      <c r="M697">
        <v>-3</v>
      </c>
      <c r="N697">
        <v>-9</v>
      </c>
      <c r="O697">
        <v>-9</v>
      </c>
    </row>
    <row r="698" spans="1:15" x14ac:dyDescent="0.3">
      <c r="A698" s="1">
        <v>42334</v>
      </c>
      <c r="B698">
        <v>311443</v>
      </c>
      <c r="C698">
        <v>355344</v>
      </c>
      <c r="D698">
        <v>9273</v>
      </c>
      <c r="E698">
        <v>2015</v>
      </c>
      <c r="F698">
        <v>11</v>
      </c>
      <c r="G698" t="s">
        <v>33</v>
      </c>
      <c r="H698">
        <v>4</v>
      </c>
      <c r="I698">
        <v>26</v>
      </c>
      <c r="J698" t="s">
        <v>20</v>
      </c>
      <c r="K698">
        <v>34</v>
      </c>
      <c r="L698">
        <v>-43901</v>
      </c>
      <c r="M698">
        <v>-5</v>
      </c>
      <c r="N698">
        <v>-14</v>
      </c>
      <c r="O698">
        <v>-14</v>
      </c>
    </row>
    <row r="699" spans="1:15" x14ac:dyDescent="0.3">
      <c r="A699" s="1">
        <v>42335</v>
      </c>
      <c r="B699">
        <v>375876</v>
      </c>
      <c r="C699">
        <v>431326</v>
      </c>
      <c r="D699">
        <v>11257</v>
      </c>
      <c r="E699">
        <v>2015</v>
      </c>
      <c r="F699">
        <v>11</v>
      </c>
      <c r="G699" t="s">
        <v>33</v>
      </c>
      <c r="H699">
        <v>4</v>
      </c>
      <c r="I699">
        <v>27</v>
      </c>
      <c r="J699" t="s">
        <v>21</v>
      </c>
      <c r="K699">
        <v>33</v>
      </c>
      <c r="L699">
        <v>-55450</v>
      </c>
      <c r="M699">
        <v>-5</v>
      </c>
      <c r="N699">
        <v>-15</v>
      </c>
      <c r="O699">
        <v>-15</v>
      </c>
    </row>
    <row r="700" spans="1:15" x14ac:dyDescent="0.3">
      <c r="A700" s="1">
        <v>42336</v>
      </c>
      <c r="B700">
        <v>434640</v>
      </c>
      <c r="C700">
        <v>498896</v>
      </c>
      <c r="D700">
        <v>13019</v>
      </c>
      <c r="E700">
        <v>2015</v>
      </c>
      <c r="F700">
        <v>11</v>
      </c>
      <c r="G700" t="s">
        <v>33</v>
      </c>
      <c r="H700">
        <v>4</v>
      </c>
      <c r="I700">
        <v>28</v>
      </c>
      <c r="J700" t="s">
        <v>22</v>
      </c>
      <c r="K700">
        <v>33</v>
      </c>
      <c r="L700">
        <v>-64256</v>
      </c>
      <c r="M700">
        <v>-5</v>
      </c>
      <c r="N700">
        <v>-15</v>
      </c>
      <c r="O700">
        <v>-15</v>
      </c>
    </row>
    <row r="701" spans="1:15" x14ac:dyDescent="0.3">
      <c r="A701" s="1">
        <v>42337</v>
      </c>
      <c r="B701">
        <v>238638</v>
      </c>
      <c r="C701">
        <v>274094</v>
      </c>
      <c r="D701">
        <v>7139</v>
      </c>
      <c r="E701">
        <v>2015</v>
      </c>
      <c r="F701">
        <v>11</v>
      </c>
      <c r="G701" t="s">
        <v>33</v>
      </c>
      <c r="H701">
        <v>4</v>
      </c>
      <c r="I701">
        <v>29</v>
      </c>
      <c r="J701" t="s">
        <v>23</v>
      </c>
      <c r="K701">
        <v>33</v>
      </c>
      <c r="L701">
        <v>-35456</v>
      </c>
      <c r="M701">
        <v>-5</v>
      </c>
      <c r="N701">
        <v>-15</v>
      </c>
      <c r="O701">
        <v>-15</v>
      </c>
    </row>
    <row r="702" spans="1:15" x14ac:dyDescent="0.3">
      <c r="A702" s="1">
        <v>42338</v>
      </c>
      <c r="B702">
        <v>260654</v>
      </c>
      <c r="C702">
        <v>283981</v>
      </c>
      <c r="D702">
        <v>7423</v>
      </c>
      <c r="E702">
        <v>2015</v>
      </c>
      <c r="F702">
        <v>11</v>
      </c>
      <c r="G702" t="s">
        <v>33</v>
      </c>
      <c r="H702">
        <v>4</v>
      </c>
      <c r="I702">
        <v>30</v>
      </c>
      <c r="J702" t="s">
        <v>16</v>
      </c>
      <c r="K702">
        <v>35</v>
      </c>
      <c r="L702">
        <v>-23327</v>
      </c>
      <c r="M702">
        <v>-3</v>
      </c>
      <c r="N702">
        <v>-9</v>
      </c>
      <c r="O702">
        <v>-9</v>
      </c>
    </row>
    <row r="703" spans="1:15" x14ac:dyDescent="0.3">
      <c r="A703" s="1">
        <v>42339</v>
      </c>
      <c r="B703">
        <v>262395</v>
      </c>
      <c r="C703">
        <v>285839</v>
      </c>
      <c r="D703">
        <v>7474</v>
      </c>
      <c r="E703">
        <v>2015</v>
      </c>
      <c r="F703">
        <v>12</v>
      </c>
      <c r="G703" t="s">
        <v>15</v>
      </c>
      <c r="H703">
        <v>4</v>
      </c>
      <c r="I703">
        <v>1</v>
      </c>
      <c r="J703" t="s">
        <v>17</v>
      </c>
      <c r="K703">
        <v>35</v>
      </c>
      <c r="L703">
        <v>-23444</v>
      </c>
      <c r="M703">
        <v>-3</v>
      </c>
      <c r="N703">
        <v>-9</v>
      </c>
      <c r="O703">
        <v>-9</v>
      </c>
    </row>
    <row r="704" spans="1:15" x14ac:dyDescent="0.3">
      <c r="A704" s="1">
        <v>42340</v>
      </c>
      <c r="B704">
        <v>248438</v>
      </c>
      <c r="C704">
        <v>269808</v>
      </c>
      <c r="D704">
        <v>7056</v>
      </c>
      <c r="E704">
        <v>2015</v>
      </c>
      <c r="F704">
        <v>12</v>
      </c>
      <c r="G704" t="s">
        <v>15</v>
      </c>
      <c r="H704">
        <v>4</v>
      </c>
      <c r="I704">
        <v>2</v>
      </c>
      <c r="J704" t="s">
        <v>19</v>
      </c>
      <c r="K704">
        <v>35</v>
      </c>
      <c r="L704">
        <v>-21370</v>
      </c>
      <c r="M704">
        <v>-3</v>
      </c>
      <c r="N704">
        <v>-9</v>
      </c>
      <c r="O704">
        <v>-9</v>
      </c>
    </row>
    <row r="705" spans="1:15" x14ac:dyDescent="0.3">
      <c r="A705" s="1">
        <v>42341</v>
      </c>
      <c r="B705">
        <v>201049</v>
      </c>
      <c r="C705">
        <v>219110</v>
      </c>
      <c r="D705">
        <v>5732</v>
      </c>
      <c r="E705">
        <v>2015</v>
      </c>
      <c r="F705">
        <v>12</v>
      </c>
      <c r="G705" t="s">
        <v>15</v>
      </c>
      <c r="H705">
        <v>4</v>
      </c>
      <c r="I705">
        <v>3</v>
      </c>
      <c r="J705" t="s">
        <v>20</v>
      </c>
      <c r="K705">
        <v>35</v>
      </c>
      <c r="L705">
        <v>-18062</v>
      </c>
      <c r="M705">
        <v>-3</v>
      </c>
      <c r="N705">
        <v>-9</v>
      </c>
      <c r="O705">
        <v>-9</v>
      </c>
    </row>
    <row r="706" spans="1:15" x14ac:dyDescent="0.3">
      <c r="A706" s="1">
        <v>42342</v>
      </c>
      <c r="B706">
        <v>317691</v>
      </c>
      <c r="C706">
        <v>345450</v>
      </c>
      <c r="D706">
        <v>9038</v>
      </c>
      <c r="E706">
        <v>2015</v>
      </c>
      <c r="F706">
        <v>12</v>
      </c>
      <c r="G706" t="s">
        <v>15</v>
      </c>
      <c r="H706">
        <v>4</v>
      </c>
      <c r="I706">
        <v>4</v>
      </c>
      <c r="J706" t="s">
        <v>21</v>
      </c>
      <c r="K706">
        <v>35</v>
      </c>
      <c r="L706">
        <v>-27759</v>
      </c>
      <c r="M706">
        <v>-3</v>
      </c>
      <c r="N706">
        <v>-9</v>
      </c>
      <c r="O706">
        <v>-9</v>
      </c>
    </row>
    <row r="707" spans="1:15" x14ac:dyDescent="0.3">
      <c r="A707" s="1">
        <v>42343</v>
      </c>
      <c r="B707">
        <v>378528</v>
      </c>
      <c r="C707">
        <v>410385</v>
      </c>
      <c r="D707">
        <v>10737</v>
      </c>
      <c r="E707">
        <v>2015</v>
      </c>
      <c r="F707">
        <v>12</v>
      </c>
      <c r="G707" t="s">
        <v>15</v>
      </c>
      <c r="H707">
        <v>4</v>
      </c>
      <c r="I707">
        <v>5</v>
      </c>
      <c r="J707" t="s">
        <v>22</v>
      </c>
      <c r="K707">
        <v>35</v>
      </c>
      <c r="L707">
        <v>-31857</v>
      </c>
      <c r="M707">
        <v>-3</v>
      </c>
      <c r="N707">
        <v>-8</v>
      </c>
      <c r="O707">
        <v>-8</v>
      </c>
    </row>
    <row r="708" spans="1:15" x14ac:dyDescent="0.3">
      <c r="A708" s="1">
        <v>42344</v>
      </c>
      <c r="B708">
        <v>195425</v>
      </c>
      <c r="C708">
        <v>210461</v>
      </c>
      <c r="D708">
        <v>5505</v>
      </c>
      <c r="E708">
        <v>2015</v>
      </c>
      <c r="F708">
        <v>12</v>
      </c>
      <c r="G708" t="s">
        <v>15</v>
      </c>
      <c r="H708">
        <v>4</v>
      </c>
      <c r="I708">
        <v>6</v>
      </c>
      <c r="J708" t="s">
        <v>23</v>
      </c>
      <c r="K708">
        <v>35</v>
      </c>
      <c r="L708">
        <v>-15036</v>
      </c>
      <c r="M708">
        <v>-3</v>
      </c>
      <c r="N708">
        <v>-8</v>
      </c>
      <c r="O708">
        <v>-8</v>
      </c>
    </row>
    <row r="709" spans="1:15" x14ac:dyDescent="0.3">
      <c r="A709" s="1">
        <v>42345</v>
      </c>
      <c r="B709">
        <v>90442</v>
      </c>
      <c r="C709">
        <v>84000</v>
      </c>
      <c r="D709">
        <v>2198</v>
      </c>
      <c r="E709">
        <v>2015</v>
      </c>
      <c r="F709">
        <v>12</v>
      </c>
      <c r="G709" t="s">
        <v>15</v>
      </c>
      <c r="H709">
        <v>4</v>
      </c>
      <c r="I709">
        <v>7</v>
      </c>
      <c r="J709" t="s">
        <v>16</v>
      </c>
      <c r="K709">
        <v>41</v>
      </c>
      <c r="L709">
        <v>6442</v>
      </c>
      <c r="M709">
        <v>3</v>
      </c>
      <c r="N709">
        <v>7</v>
      </c>
      <c r="O709">
        <v>7</v>
      </c>
    </row>
    <row r="710" spans="1:15" x14ac:dyDescent="0.3">
      <c r="A710" s="1">
        <v>42346</v>
      </c>
      <c r="B710">
        <v>117649</v>
      </c>
      <c r="C710">
        <v>121640</v>
      </c>
      <c r="D710">
        <v>3190</v>
      </c>
      <c r="E710">
        <v>2015</v>
      </c>
      <c r="F710">
        <v>12</v>
      </c>
      <c r="G710" t="s">
        <v>15</v>
      </c>
      <c r="H710">
        <v>4</v>
      </c>
      <c r="I710">
        <v>8</v>
      </c>
      <c r="J710" t="s">
        <v>17</v>
      </c>
      <c r="K710">
        <v>37</v>
      </c>
      <c r="L710">
        <v>-3991</v>
      </c>
      <c r="M710">
        <v>-1</v>
      </c>
      <c r="N710">
        <v>-3</v>
      </c>
      <c r="O710">
        <v>-3</v>
      </c>
    </row>
    <row r="711" spans="1:15" x14ac:dyDescent="0.3">
      <c r="A711" s="1">
        <v>42347</v>
      </c>
      <c r="B711">
        <v>141285</v>
      </c>
      <c r="C711">
        <v>145443</v>
      </c>
      <c r="D711">
        <v>3814</v>
      </c>
      <c r="E711">
        <v>2015</v>
      </c>
      <c r="F711">
        <v>12</v>
      </c>
      <c r="G711" t="s">
        <v>15</v>
      </c>
      <c r="H711">
        <v>4</v>
      </c>
      <c r="I711">
        <v>9</v>
      </c>
      <c r="J711" t="s">
        <v>19</v>
      </c>
      <c r="K711">
        <v>37</v>
      </c>
      <c r="L711">
        <v>-4158</v>
      </c>
      <c r="M711">
        <v>-1</v>
      </c>
      <c r="N711">
        <v>-3</v>
      </c>
      <c r="O711">
        <v>-3</v>
      </c>
    </row>
    <row r="712" spans="1:15" x14ac:dyDescent="0.3">
      <c r="A712" s="1">
        <v>42348</v>
      </c>
      <c r="B712">
        <v>133184</v>
      </c>
      <c r="C712">
        <v>137726</v>
      </c>
      <c r="D712">
        <v>3610</v>
      </c>
      <c r="E712">
        <v>2015</v>
      </c>
      <c r="F712">
        <v>12</v>
      </c>
      <c r="G712" t="s">
        <v>15</v>
      </c>
      <c r="H712">
        <v>4</v>
      </c>
      <c r="I712">
        <v>10</v>
      </c>
      <c r="J712" t="s">
        <v>20</v>
      </c>
      <c r="K712">
        <v>37</v>
      </c>
      <c r="L712">
        <v>-4542</v>
      </c>
      <c r="M712">
        <v>-1</v>
      </c>
      <c r="N712">
        <v>-3</v>
      </c>
      <c r="O712">
        <v>-3</v>
      </c>
    </row>
    <row r="713" spans="1:15" x14ac:dyDescent="0.3">
      <c r="A713" s="1">
        <v>42349</v>
      </c>
      <c r="B713">
        <v>229672</v>
      </c>
      <c r="C713">
        <v>237672</v>
      </c>
      <c r="D713">
        <v>6227</v>
      </c>
      <c r="E713">
        <v>2015</v>
      </c>
      <c r="F713">
        <v>12</v>
      </c>
      <c r="G713" t="s">
        <v>15</v>
      </c>
      <c r="H713">
        <v>4</v>
      </c>
      <c r="I713">
        <v>11</v>
      </c>
      <c r="J713" t="s">
        <v>21</v>
      </c>
      <c r="K713">
        <v>37</v>
      </c>
      <c r="L713">
        <v>-8000</v>
      </c>
      <c r="M713">
        <v>-1</v>
      </c>
      <c r="N713">
        <v>-3</v>
      </c>
      <c r="O713">
        <v>-3</v>
      </c>
    </row>
    <row r="714" spans="1:15" x14ac:dyDescent="0.3">
      <c r="A714" s="1">
        <v>42350</v>
      </c>
      <c r="B714">
        <v>333489</v>
      </c>
      <c r="C714">
        <v>359621</v>
      </c>
      <c r="D714">
        <v>9422</v>
      </c>
      <c r="E714">
        <v>2015</v>
      </c>
      <c r="F714">
        <v>12</v>
      </c>
      <c r="G714" t="s">
        <v>15</v>
      </c>
      <c r="H714">
        <v>4</v>
      </c>
      <c r="I714">
        <v>12</v>
      </c>
      <c r="J714" t="s">
        <v>22</v>
      </c>
      <c r="K714">
        <v>35</v>
      </c>
      <c r="L714">
        <v>-26132</v>
      </c>
      <c r="M714">
        <v>-3</v>
      </c>
      <c r="N714">
        <v>-8</v>
      </c>
      <c r="O714">
        <v>-8</v>
      </c>
    </row>
    <row r="715" spans="1:15" x14ac:dyDescent="0.3">
      <c r="A715" s="1">
        <v>42351</v>
      </c>
      <c r="B715">
        <v>185423</v>
      </c>
      <c r="C715">
        <v>191390</v>
      </c>
      <c r="D715">
        <v>5014</v>
      </c>
      <c r="E715">
        <v>2015</v>
      </c>
      <c r="F715">
        <v>12</v>
      </c>
      <c r="G715" t="s">
        <v>15</v>
      </c>
      <c r="H715">
        <v>4</v>
      </c>
      <c r="I715">
        <v>13</v>
      </c>
      <c r="J715" t="s">
        <v>23</v>
      </c>
      <c r="K715">
        <v>37</v>
      </c>
      <c r="L715">
        <v>-5968</v>
      </c>
      <c r="M715">
        <v>-1</v>
      </c>
      <c r="N715">
        <v>-3</v>
      </c>
      <c r="O715">
        <v>-3</v>
      </c>
    </row>
    <row r="716" spans="1:15" x14ac:dyDescent="0.3">
      <c r="A716" s="1">
        <v>42352</v>
      </c>
      <c r="B716">
        <v>173833</v>
      </c>
      <c r="C716">
        <v>179871</v>
      </c>
      <c r="D716">
        <v>4715</v>
      </c>
      <c r="E716">
        <v>2015</v>
      </c>
      <c r="F716">
        <v>12</v>
      </c>
      <c r="G716" t="s">
        <v>15</v>
      </c>
      <c r="H716">
        <v>4</v>
      </c>
      <c r="I716">
        <v>14</v>
      </c>
      <c r="J716" t="s">
        <v>16</v>
      </c>
      <c r="K716">
        <v>37</v>
      </c>
      <c r="L716">
        <v>-6038</v>
      </c>
      <c r="M716">
        <v>-1</v>
      </c>
      <c r="N716">
        <v>-3</v>
      </c>
      <c r="O716">
        <v>-3</v>
      </c>
    </row>
    <row r="717" spans="1:15" x14ac:dyDescent="0.3">
      <c r="A717" s="1">
        <v>42353</v>
      </c>
      <c r="B717">
        <v>220272</v>
      </c>
      <c r="C717">
        <v>237123</v>
      </c>
      <c r="D717">
        <v>6212</v>
      </c>
      <c r="E717">
        <v>2015</v>
      </c>
      <c r="F717">
        <v>12</v>
      </c>
      <c r="G717" t="s">
        <v>15</v>
      </c>
      <c r="H717">
        <v>4</v>
      </c>
      <c r="I717">
        <v>15</v>
      </c>
      <c r="J717" t="s">
        <v>17</v>
      </c>
      <c r="K717">
        <v>35</v>
      </c>
      <c r="L717">
        <v>-16852</v>
      </c>
      <c r="M717">
        <v>-3</v>
      </c>
      <c r="N717">
        <v>-8</v>
      </c>
      <c r="O717">
        <v>-8</v>
      </c>
    </row>
    <row r="718" spans="1:15" x14ac:dyDescent="0.3">
      <c r="A718" s="1">
        <v>42354</v>
      </c>
      <c r="B718">
        <v>234468</v>
      </c>
      <c r="C718">
        <v>251494</v>
      </c>
      <c r="D718">
        <v>6585</v>
      </c>
      <c r="E718">
        <v>2015</v>
      </c>
      <c r="F718">
        <v>12</v>
      </c>
      <c r="G718" t="s">
        <v>15</v>
      </c>
      <c r="H718">
        <v>4</v>
      </c>
      <c r="I718">
        <v>16</v>
      </c>
      <c r="J718" t="s">
        <v>19</v>
      </c>
      <c r="K718">
        <v>36</v>
      </c>
      <c r="L718">
        <v>-17026</v>
      </c>
      <c r="M718">
        <v>-3</v>
      </c>
      <c r="N718">
        <v>-7</v>
      </c>
      <c r="O718">
        <v>-7</v>
      </c>
    </row>
    <row r="719" spans="1:15" x14ac:dyDescent="0.3">
      <c r="A719" s="1">
        <v>42355</v>
      </c>
      <c r="B719">
        <v>213778</v>
      </c>
      <c r="C719">
        <v>230994</v>
      </c>
      <c r="D719">
        <v>6051</v>
      </c>
      <c r="E719">
        <v>2015</v>
      </c>
      <c r="F719">
        <v>12</v>
      </c>
      <c r="G719" t="s">
        <v>15</v>
      </c>
      <c r="H719">
        <v>4</v>
      </c>
      <c r="I719">
        <v>17</v>
      </c>
      <c r="J719" t="s">
        <v>20</v>
      </c>
      <c r="K719">
        <v>35</v>
      </c>
      <c r="L719">
        <v>-17216</v>
      </c>
      <c r="M719">
        <v>-3</v>
      </c>
      <c r="N719">
        <v>-8</v>
      </c>
      <c r="O719">
        <v>-8</v>
      </c>
    </row>
    <row r="720" spans="1:15" x14ac:dyDescent="0.3">
      <c r="A720" s="1">
        <v>42356</v>
      </c>
      <c r="B720">
        <v>273563</v>
      </c>
      <c r="C720">
        <v>295855</v>
      </c>
      <c r="D720">
        <v>7750</v>
      </c>
      <c r="E720">
        <v>2015</v>
      </c>
      <c r="F720">
        <v>12</v>
      </c>
      <c r="G720" t="s">
        <v>15</v>
      </c>
      <c r="H720">
        <v>4</v>
      </c>
      <c r="I720">
        <v>18</v>
      </c>
      <c r="J720" t="s">
        <v>21</v>
      </c>
      <c r="K720">
        <v>35</v>
      </c>
      <c r="L720">
        <v>-22292</v>
      </c>
      <c r="M720">
        <v>-3</v>
      </c>
      <c r="N720">
        <v>-8</v>
      </c>
      <c r="O720">
        <v>-8</v>
      </c>
    </row>
    <row r="721" spans="1:15" x14ac:dyDescent="0.3">
      <c r="A721" s="1">
        <v>42357</v>
      </c>
      <c r="B721">
        <v>337507</v>
      </c>
      <c r="C721">
        <v>362223</v>
      </c>
      <c r="D721">
        <v>9490</v>
      </c>
      <c r="E721">
        <v>2015</v>
      </c>
      <c r="F721">
        <v>12</v>
      </c>
      <c r="G721" t="s">
        <v>15</v>
      </c>
      <c r="H721">
        <v>4</v>
      </c>
      <c r="I721">
        <v>19</v>
      </c>
      <c r="J721" t="s">
        <v>22</v>
      </c>
      <c r="K721">
        <v>36</v>
      </c>
      <c r="L721">
        <v>-24716</v>
      </c>
      <c r="M721">
        <v>-3</v>
      </c>
      <c r="N721">
        <v>-7</v>
      </c>
      <c r="O721">
        <v>-7</v>
      </c>
    </row>
    <row r="722" spans="1:15" x14ac:dyDescent="0.3">
      <c r="A722" s="1">
        <v>42358</v>
      </c>
      <c r="B722">
        <v>155313</v>
      </c>
      <c r="C722">
        <v>167422</v>
      </c>
      <c r="D722">
        <v>4382</v>
      </c>
      <c r="E722">
        <v>2015</v>
      </c>
      <c r="F722">
        <v>12</v>
      </c>
      <c r="G722" t="s">
        <v>15</v>
      </c>
      <c r="H722">
        <v>4</v>
      </c>
      <c r="I722">
        <v>20</v>
      </c>
      <c r="J722" t="s">
        <v>23</v>
      </c>
      <c r="K722">
        <v>35</v>
      </c>
      <c r="L722">
        <v>-12109</v>
      </c>
      <c r="M722">
        <v>-3</v>
      </c>
      <c r="N722">
        <v>-8</v>
      </c>
      <c r="O722">
        <v>-8</v>
      </c>
    </row>
    <row r="723" spans="1:15" x14ac:dyDescent="0.3">
      <c r="A723" s="1">
        <v>42359</v>
      </c>
      <c r="B723">
        <v>289243</v>
      </c>
      <c r="C723">
        <v>312785</v>
      </c>
      <c r="D723">
        <v>8196</v>
      </c>
      <c r="E723">
        <v>2015</v>
      </c>
      <c r="F723">
        <v>12</v>
      </c>
      <c r="G723" t="s">
        <v>15</v>
      </c>
      <c r="H723">
        <v>4</v>
      </c>
      <c r="I723">
        <v>21</v>
      </c>
      <c r="J723" t="s">
        <v>16</v>
      </c>
      <c r="K723">
        <v>35</v>
      </c>
      <c r="L723">
        <v>-23542</v>
      </c>
      <c r="M723">
        <v>-3</v>
      </c>
      <c r="N723">
        <v>-8</v>
      </c>
      <c r="O723">
        <v>-8</v>
      </c>
    </row>
    <row r="724" spans="1:15" x14ac:dyDescent="0.3">
      <c r="A724" s="1">
        <v>42360</v>
      </c>
      <c r="B724">
        <v>313125</v>
      </c>
      <c r="C724">
        <v>338300</v>
      </c>
      <c r="D724">
        <v>8863</v>
      </c>
      <c r="E724">
        <v>2015</v>
      </c>
      <c r="F724">
        <v>12</v>
      </c>
      <c r="G724" t="s">
        <v>15</v>
      </c>
      <c r="H724">
        <v>4</v>
      </c>
      <c r="I724">
        <v>22</v>
      </c>
      <c r="J724" t="s">
        <v>17</v>
      </c>
      <c r="K724">
        <v>35</v>
      </c>
      <c r="L724">
        <v>-25174</v>
      </c>
      <c r="M724">
        <v>-3</v>
      </c>
      <c r="N724">
        <v>-8</v>
      </c>
      <c r="O724">
        <v>-8</v>
      </c>
    </row>
    <row r="725" spans="1:15" x14ac:dyDescent="0.3">
      <c r="A725" s="1">
        <v>42361</v>
      </c>
      <c r="B725">
        <v>268330</v>
      </c>
      <c r="C725">
        <v>249584</v>
      </c>
      <c r="D725">
        <v>6534</v>
      </c>
      <c r="E725">
        <v>2015</v>
      </c>
      <c r="F725">
        <v>12</v>
      </c>
      <c r="G725" t="s">
        <v>15</v>
      </c>
      <c r="H725">
        <v>4</v>
      </c>
      <c r="I725">
        <v>23</v>
      </c>
      <c r="J725" t="s">
        <v>19</v>
      </c>
      <c r="K725">
        <v>41</v>
      </c>
      <c r="L725">
        <v>18746</v>
      </c>
      <c r="M725">
        <v>3</v>
      </c>
      <c r="N725">
        <v>7</v>
      </c>
      <c r="O725">
        <v>7</v>
      </c>
    </row>
    <row r="726" spans="1:15" x14ac:dyDescent="0.3">
      <c r="A726" s="1">
        <v>42362</v>
      </c>
      <c r="B726">
        <v>392228</v>
      </c>
      <c r="C726">
        <v>364396</v>
      </c>
      <c r="D726">
        <v>9540</v>
      </c>
      <c r="E726">
        <v>2015</v>
      </c>
      <c r="F726">
        <v>12</v>
      </c>
      <c r="G726" t="s">
        <v>15</v>
      </c>
      <c r="H726">
        <v>4</v>
      </c>
      <c r="I726">
        <v>24</v>
      </c>
      <c r="J726" t="s">
        <v>20</v>
      </c>
      <c r="K726">
        <v>41</v>
      </c>
      <c r="L726">
        <v>27832</v>
      </c>
      <c r="M726">
        <v>3</v>
      </c>
      <c r="N726">
        <v>7</v>
      </c>
      <c r="O726">
        <v>7</v>
      </c>
    </row>
    <row r="727" spans="1:15" x14ac:dyDescent="0.3">
      <c r="A727" s="1">
        <v>42363</v>
      </c>
      <c r="B727">
        <v>133729</v>
      </c>
      <c r="C727">
        <v>124364</v>
      </c>
      <c r="D727">
        <v>3256</v>
      </c>
      <c r="E727">
        <v>2015</v>
      </c>
      <c r="F727">
        <v>12</v>
      </c>
      <c r="G727" t="s">
        <v>15</v>
      </c>
      <c r="H727">
        <v>4</v>
      </c>
      <c r="I727">
        <v>25</v>
      </c>
      <c r="J727" t="s">
        <v>21</v>
      </c>
      <c r="K727">
        <v>41</v>
      </c>
      <c r="L727">
        <v>9365</v>
      </c>
      <c r="M727">
        <v>3</v>
      </c>
      <c r="N727">
        <v>7</v>
      </c>
      <c r="O727">
        <v>7</v>
      </c>
    </row>
    <row r="728" spans="1:15" x14ac:dyDescent="0.3">
      <c r="A728" s="1">
        <v>42364</v>
      </c>
      <c r="B728">
        <v>82778</v>
      </c>
      <c r="C728">
        <v>76876</v>
      </c>
      <c r="D728">
        <v>2013</v>
      </c>
      <c r="E728">
        <v>2015</v>
      </c>
      <c r="F728">
        <v>12</v>
      </c>
      <c r="G728" t="s">
        <v>15</v>
      </c>
      <c r="H728">
        <v>4</v>
      </c>
      <c r="I728">
        <v>26</v>
      </c>
      <c r="J728" t="s">
        <v>22</v>
      </c>
      <c r="K728">
        <v>41</v>
      </c>
      <c r="L728">
        <v>5902</v>
      </c>
      <c r="M728">
        <v>3</v>
      </c>
      <c r="N728">
        <v>7</v>
      </c>
      <c r="O728">
        <v>7</v>
      </c>
    </row>
    <row r="729" spans="1:15" x14ac:dyDescent="0.3">
      <c r="A729" s="1">
        <v>42365</v>
      </c>
      <c r="B729">
        <v>69523</v>
      </c>
      <c r="C729">
        <v>64616</v>
      </c>
      <c r="D729">
        <v>1692</v>
      </c>
      <c r="E729">
        <v>2015</v>
      </c>
      <c r="F729">
        <v>12</v>
      </c>
      <c r="G729" t="s">
        <v>15</v>
      </c>
      <c r="H729">
        <v>4</v>
      </c>
      <c r="I729">
        <v>27</v>
      </c>
      <c r="J729" t="s">
        <v>23</v>
      </c>
      <c r="K729">
        <v>41</v>
      </c>
      <c r="L729">
        <v>4907</v>
      </c>
      <c r="M729">
        <v>3</v>
      </c>
      <c r="N729">
        <v>7</v>
      </c>
      <c r="O729">
        <v>7</v>
      </c>
    </row>
    <row r="730" spans="1:15" x14ac:dyDescent="0.3">
      <c r="A730" s="1">
        <v>42366</v>
      </c>
      <c r="B730">
        <v>133021</v>
      </c>
      <c r="C730">
        <v>123501</v>
      </c>
      <c r="D730">
        <v>3234</v>
      </c>
      <c r="E730">
        <v>2015</v>
      </c>
      <c r="F730">
        <v>12</v>
      </c>
      <c r="G730" t="s">
        <v>15</v>
      </c>
      <c r="H730">
        <v>4</v>
      </c>
      <c r="I730">
        <v>28</v>
      </c>
      <c r="J730" t="s">
        <v>16</v>
      </c>
      <c r="K730">
        <v>41</v>
      </c>
      <c r="L730">
        <v>9520</v>
      </c>
      <c r="M730">
        <v>3</v>
      </c>
      <c r="N730">
        <v>7</v>
      </c>
      <c r="O730">
        <v>7</v>
      </c>
    </row>
    <row r="731" spans="1:15" x14ac:dyDescent="0.3">
      <c r="A731" s="1">
        <v>42367</v>
      </c>
      <c r="B731">
        <v>161268</v>
      </c>
      <c r="C731">
        <v>175378</v>
      </c>
      <c r="D731">
        <v>4592</v>
      </c>
      <c r="E731">
        <v>2015</v>
      </c>
      <c r="F731">
        <v>12</v>
      </c>
      <c r="G731" t="s">
        <v>15</v>
      </c>
      <c r="H731">
        <v>4</v>
      </c>
      <c r="I731">
        <v>29</v>
      </c>
      <c r="J731" t="s">
        <v>17</v>
      </c>
      <c r="K731">
        <v>35</v>
      </c>
      <c r="L731">
        <v>-14111</v>
      </c>
      <c r="M731">
        <v>-3</v>
      </c>
      <c r="N731">
        <v>-9</v>
      </c>
      <c r="O731">
        <v>-9</v>
      </c>
    </row>
    <row r="732" spans="1:15" x14ac:dyDescent="0.3">
      <c r="A732" s="1">
        <v>42368</v>
      </c>
      <c r="B732">
        <v>208583</v>
      </c>
      <c r="C732">
        <v>227060</v>
      </c>
      <c r="D732">
        <v>5945</v>
      </c>
      <c r="E732">
        <v>2015</v>
      </c>
      <c r="F732">
        <v>12</v>
      </c>
      <c r="G732" t="s">
        <v>15</v>
      </c>
      <c r="H732">
        <v>4</v>
      </c>
      <c r="I732">
        <v>30</v>
      </c>
      <c r="J732" t="s">
        <v>19</v>
      </c>
      <c r="K732">
        <v>35</v>
      </c>
      <c r="L732">
        <v>-18477</v>
      </c>
      <c r="M732">
        <v>-3</v>
      </c>
      <c r="N732">
        <v>-9</v>
      </c>
      <c r="O732">
        <v>-9</v>
      </c>
    </row>
    <row r="733" spans="1:15" x14ac:dyDescent="0.3">
      <c r="A733" s="1">
        <v>42369</v>
      </c>
      <c r="B733">
        <v>325458</v>
      </c>
      <c r="C733">
        <v>353930</v>
      </c>
      <c r="D733">
        <v>9266</v>
      </c>
      <c r="E733">
        <v>2015</v>
      </c>
      <c r="F733">
        <v>12</v>
      </c>
      <c r="G733" t="s">
        <v>15</v>
      </c>
      <c r="H733">
        <v>4</v>
      </c>
      <c r="I733">
        <v>31</v>
      </c>
      <c r="J733" t="s">
        <v>20</v>
      </c>
      <c r="K733">
        <v>35</v>
      </c>
      <c r="L733">
        <v>-28472</v>
      </c>
      <c r="M733">
        <v>-3</v>
      </c>
      <c r="N733">
        <v>-9</v>
      </c>
      <c r="O733">
        <v>-9</v>
      </c>
    </row>
    <row r="734" spans="1:15" x14ac:dyDescent="0.3">
      <c r="A734" s="1">
        <v>42370</v>
      </c>
      <c r="B734">
        <v>111650</v>
      </c>
      <c r="C734">
        <v>121448</v>
      </c>
      <c r="D734">
        <v>3179</v>
      </c>
      <c r="E734">
        <v>2016</v>
      </c>
      <c r="F734">
        <v>1</v>
      </c>
      <c r="G734" t="s">
        <v>18</v>
      </c>
      <c r="H734">
        <v>1</v>
      </c>
      <c r="I734">
        <v>1</v>
      </c>
      <c r="J734" t="s">
        <v>21</v>
      </c>
      <c r="K734">
        <v>35</v>
      </c>
      <c r="L734">
        <v>-9798</v>
      </c>
      <c r="M734">
        <v>-3</v>
      </c>
      <c r="N734">
        <v>-9</v>
      </c>
      <c r="O734">
        <v>-9</v>
      </c>
    </row>
    <row r="735" spans="1:15" x14ac:dyDescent="0.3">
      <c r="A735" s="1">
        <v>42371</v>
      </c>
      <c r="B735">
        <v>262421</v>
      </c>
      <c r="C735">
        <v>285676</v>
      </c>
      <c r="D735">
        <v>7479</v>
      </c>
      <c r="E735">
        <v>2016</v>
      </c>
      <c r="F735">
        <v>1</v>
      </c>
      <c r="G735" t="s">
        <v>18</v>
      </c>
      <c r="H735">
        <v>1</v>
      </c>
      <c r="I735">
        <v>2</v>
      </c>
      <c r="J735" t="s">
        <v>22</v>
      </c>
      <c r="K735">
        <v>35</v>
      </c>
      <c r="L735">
        <v>-23255</v>
      </c>
      <c r="M735">
        <v>-3</v>
      </c>
      <c r="N735">
        <v>-9</v>
      </c>
      <c r="O735">
        <v>-9</v>
      </c>
    </row>
    <row r="736" spans="1:15" x14ac:dyDescent="0.3">
      <c r="A736" s="1">
        <v>42372</v>
      </c>
      <c r="B736">
        <v>164528</v>
      </c>
      <c r="C736">
        <v>179309</v>
      </c>
      <c r="D736">
        <v>4694</v>
      </c>
      <c r="E736">
        <v>2016</v>
      </c>
      <c r="F736">
        <v>1</v>
      </c>
      <c r="G736" t="s">
        <v>18</v>
      </c>
      <c r="H736">
        <v>1</v>
      </c>
      <c r="I736">
        <v>3</v>
      </c>
      <c r="J736" t="s">
        <v>23</v>
      </c>
      <c r="K736">
        <v>35</v>
      </c>
      <c r="L736">
        <v>-14781</v>
      </c>
      <c r="M736">
        <v>-3</v>
      </c>
      <c r="N736">
        <v>-9</v>
      </c>
      <c r="O736">
        <v>-9</v>
      </c>
    </row>
    <row r="737" spans="1:15" x14ac:dyDescent="0.3">
      <c r="A737" s="1">
        <v>42373</v>
      </c>
      <c r="B737">
        <v>274990</v>
      </c>
      <c r="C737">
        <v>299576</v>
      </c>
      <c r="D737">
        <v>7843</v>
      </c>
      <c r="E737">
        <v>2016</v>
      </c>
      <c r="F737">
        <v>1</v>
      </c>
      <c r="G737" t="s">
        <v>18</v>
      </c>
      <c r="H737">
        <v>1</v>
      </c>
      <c r="I737">
        <v>4</v>
      </c>
      <c r="J737" t="s">
        <v>16</v>
      </c>
      <c r="K737">
        <v>35</v>
      </c>
      <c r="L737">
        <v>-24586</v>
      </c>
      <c r="M737">
        <v>-3</v>
      </c>
      <c r="N737">
        <v>-9</v>
      </c>
      <c r="O737">
        <v>-9</v>
      </c>
    </row>
    <row r="738" spans="1:15" x14ac:dyDescent="0.3">
      <c r="A738" s="1">
        <v>42374</v>
      </c>
      <c r="B738">
        <v>215738</v>
      </c>
      <c r="C738">
        <v>234642</v>
      </c>
      <c r="D738">
        <v>6150</v>
      </c>
      <c r="E738">
        <v>2016</v>
      </c>
      <c r="F738">
        <v>1</v>
      </c>
      <c r="G738" t="s">
        <v>18</v>
      </c>
      <c r="H738">
        <v>1</v>
      </c>
      <c r="I738">
        <v>5</v>
      </c>
      <c r="J738" t="s">
        <v>17</v>
      </c>
      <c r="K738">
        <v>35</v>
      </c>
      <c r="L738">
        <v>-18904</v>
      </c>
      <c r="M738">
        <v>-3</v>
      </c>
      <c r="N738">
        <v>-9</v>
      </c>
      <c r="O738">
        <v>-9</v>
      </c>
    </row>
    <row r="739" spans="1:15" x14ac:dyDescent="0.3">
      <c r="A739" s="1">
        <v>42375</v>
      </c>
      <c r="B739">
        <v>98647</v>
      </c>
      <c r="C739">
        <v>91611</v>
      </c>
      <c r="D739">
        <v>2401</v>
      </c>
      <c r="E739">
        <v>2016</v>
      </c>
      <c r="F739">
        <v>1</v>
      </c>
      <c r="G739" t="s">
        <v>18</v>
      </c>
      <c r="H739">
        <v>1</v>
      </c>
      <c r="I739">
        <v>6</v>
      </c>
      <c r="J739" t="s">
        <v>19</v>
      </c>
      <c r="K739">
        <v>41</v>
      </c>
      <c r="L739">
        <v>7036</v>
      </c>
      <c r="M739">
        <v>3</v>
      </c>
      <c r="N739">
        <v>7</v>
      </c>
      <c r="O739">
        <v>7</v>
      </c>
    </row>
    <row r="740" spans="1:15" x14ac:dyDescent="0.3">
      <c r="A740" s="1">
        <v>42376</v>
      </c>
      <c r="B740">
        <v>74401</v>
      </c>
      <c r="C740">
        <v>68989</v>
      </c>
      <c r="D740">
        <v>1808</v>
      </c>
      <c r="E740">
        <v>2016</v>
      </c>
      <c r="F740">
        <v>1</v>
      </c>
      <c r="G740" t="s">
        <v>18</v>
      </c>
      <c r="H740">
        <v>1</v>
      </c>
      <c r="I740">
        <v>7</v>
      </c>
      <c r="J740" t="s">
        <v>20</v>
      </c>
      <c r="K740">
        <v>41</v>
      </c>
      <c r="L740">
        <v>5412</v>
      </c>
      <c r="M740">
        <v>3</v>
      </c>
      <c r="N740">
        <v>7</v>
      </c>
      <c r="O740">
        <v>7</v>
      </c>
    </row>
    <row r="741" spans="1:15" x14ac:dyDescent="0.3">
      <c r="A741" s="1">
        <v>42377</v>
      </c>
      <c r="B741">
        <v>106592</v>
      </c>
      <c r="C741">
        <v>99022</v>
      </c>
      <c r="D741">
        <v>2594</v>
      </c>
      <c r="E741">
        <v>2016</v>
      </c>
      <c r="F741">
        <v>1</v>
      </c>
      <c r="G741" t="s">
        <v>18</v>
      </c>
      <c r="H741">
        <v>1</v>
      </c>
      <c r="I741">
        <v>8</v>
      </c>
      <c r="J741" t="s">
        <v>21</v>
      </c>
      <c r="K741">
        <v>41</v>
      </c>
      <c r="L741">
        <v>7571</v>
      </c>
      <c r="M741">
        <v>3</v>
      </c>
      <c r="N741">
        <v>7</v>
      </c>
      <c r="O741">
        <v>7</v>
      </c>
    </row>
    <row r="742" spans="1:15" x14ac:dyDescent="0.3">
      <c r="A742" s="1">
        <v>42378</v>
      </c>
      <c r="B742">
        <v>134630</v>
      </c>
      <c r="C742">
        <v>124963</v>
      </c>
      <c r="D742">
        <v>3274</v>
      </c>
      <c r="E742">
        <v>2016</v>
      </c>
      <c r="F742">
        <v>1</v>
      </c>
      <c r="G742" t="s">
        <v>18</v>
      </c>
      <c r="H742">
        <v>1</v>
      </c>
      <c r="I742">
        <v>9</v>
      </c>
      <c r="J742" t="s">
        <v>22</v>
      </c>
      <c r="K742">
        <v>41</v>
      </c>
      <c r="L742">
        <v>9666</v>
      </c>
      <c r="M742">
        <v>3</v>
      </c>
      <c r="N742">
        <v>7</v>
      </c>
      <c r="O742">
        <v>7</v>
      </c>
    </row>
    <row r="743" spans="1:15" x14ac:dyDescent="0.3">
      <c r="A743" s="1">
        <v>42379</v>
      </c>
      <c r="B743">
        <v>90774</v>
      </c>
      <c r="C743">
        <v>84299</v>
      </c>
      <c r="D743">
        <v>2207</v>
      </c>
      <c r="E743">
        <v>2016</v>
      </c>
      <c r="F743">
        <v>1</v>
      </c>
      <c r="G743" t="s">
        <v>18</v>
      </c>
      <c r="H743">
        <v>1</v>
      </c>
      <c r="I743">
        <v>10</v>
      </c>
      <c r="J743" t="s">
        <v>23</v>
      </c>
      <c r="K743">
        <v>41</v>
      </c>
      <c r="L743">
        <v>6474</v>
      </c>
      <c r="M743">
        <v>3</v>
      </c>
      <c r="N743">
        <v>7</v>
      </c>
      <c r="O743">
        <v>7</v>
      </c>
    </row>
    <row r="744" spans="1:15" x14ac:dyDescent="0.3">
      <c r="A744" s="1">
        <v>42380</v>
      </c>
      <c r="B744">
        <v>121373</v>
      </c>
      <c r="C744">
        <v>112550</v>
      </c>
      <c r="D744">
        <v>2949</v>
      </c>
      <c r="E744">
        <v>2016</v>
      </c>
      <c r="F744">
        <v>1</v>
      </c>
      <c r="G744" t="s">
        <v>18</v>
      </c>
      <c r="H744">
        <v>1</v>
      </c>
      <c r="I744">
        <v>11</v>
      </c>
      <c r="J744" t="s">
        <v>16</v>
      </c>
      <c r="K744">
        <v>41</v>
      </c>
      <c r="L744">
        <v>8823</v>
      </c>
      <c r="M744">
        <v>3</v>
      </c>
      <c r="N744">
        <v>7</v>
      </c>
      <c r="O744">
        <v>7</v>
      </c>
    </row>
    <row r="745" spans="1:15" x14ac:dyDescent="0.3">
      <c r="A745" s="1">
        <v>42381</v>
      </c>
      <c r="B745">
        <v>99446</v>
      </c>
      <c r="C745">
        <v>92227</v>
      </c>
      <c r="D745">
        <v>2417</v>
      </c>
      <c r="E745">
        <v>2016</v>
      </c>
      <c r="F745">
        <v>1</v>
      </c>
      <c r="G745" t="s">
        <v>18</v>
      </c>
      <c r="H745">
        <v>1</v>
      </c>
      <c r="I745">
        <v>12</v>
      </c>
      <c r="J745" t="s">
        <v>17</v>
      </c>
      <c r="K745">
        <v>41</v>
      </c>
      <c r="L745">
        <v>7219</v>
      </c>
      <c r="M745">
        <v>3</v>
      </c>
      <c r="N745">
        <v>7</v>
      </c>
      <c r="O745">
        <v>7</v>
      </c>
    </row>
    <row r="746" spans="1:15" x14ac:dyDescent="0.3">
      <c r="A746" s="1">
        <v>42382</v>
      </c>
      <c r="B746">
        <v>67588</v>
      </c>
      <c r="C746">
        <v>62760</v>
      </c>
      <c r="D746">
        <v>1644</v>
      </c>
      <c r="E746">
        <v>2016</v>
      </c>
      <c r="F746">
        <v>1</v>
      </c>
      <c r="G746" t="s">
        <v>18</v>
      </c>
      <c r="H746">
        <v>1</v>
      </c>
      <c r="I746">
        <v>13</v>
      </c>
      <c r="J746" t="s">
        <v>19</v>
      </c>
      <c r="K746">
        <v>41</v>
      </c>
      <c r="L746">
        <v>4827</v>
      </c>
      <c r="M746">
        <v>3</v>
      </c>
      <c r="N746">
        <v>7</v>
      </c>
      <c r="O746">
        <v>7</v>
      </c>
    </row>
    <row r="747" spans="1:15" x14ac:dyDescent="0.3">
      <c r="A747" s="1">
        <v>42383</v>
      </c>
      <c r="B747">
        <v>61686</v>
      </c>
      <c r="C747">
        <v>57191</v>
      </c>
      <c r="D747">
        <v>1499</v>
      </c>
      <c r="E747">
        <v>2016</v>
      </c>
      <c r="F747">
        <v>1</v>
      </c>
      <c r="G747" t="s">
        <v>18</v>
      </c>
      <c r="H747">
        <v>1</v>
      </c>
      <c r="I747">
        <v>14</v>
      </c>
      <c r="J747" t="s">
        <v>20</v>
      </c>
      <c r="K747">
        <v>41</v>
      </c>
      <c r="L747">
        <v>4494</v>
      </c>
      <c r="M747">
        <v>3</v>
      </c>
      <c r="N747">
        <v>7</v>
      </c>
      <c r="O747">
        <v>7</v>
      </c>
    </row>
    <row r="748" spans="1:15" x14ac:dyDescent="0.3">
      <c r="A748" s="1">
        <v>42384</v>
      </c>
      <c r="B748">
        <v>150007</v>
      </c>
      <c r="C748">
        <v>139245</v>
      </c>
      <c r="D748">
        <v>3648</v>
      </c>
      <c r="E748">
        <v>2016</v>
      </c>
      <c r="F748">
        <v>1</v>
      </c>
      <c r="G748" t="s">
        <v>18</v>
      </c>
      <c r="H748">
        <v>1</v>
      </c>
      <c r="I748">
        <v>15</v>
      </c>
      <c r="J748" t="s">
        <v>21</v>
      </c>
      <c r="K748">
        <v>41</v>
      </c>
      <c r="L748">
        <v>10762</v>
      </c>
      <c r="M748">
        <v>3</v>
      </c>
      <c r="N748">
        <v>7</v>
      </c>
      <c r="O748">
        <v>7</v>
      </c>
    </row>
    <row r="749" spans="1:15" x14ac:dyDescent="0.3">
      <c r="A749" s="1">
        <v>42385</v>
      </c>
      <c r="B749">
        <v>191287</v>
      </c>
      <c r="C749">
        <v>177577</v>
      </c>
      <c r="D749">
        <v>4652</v>
      </c>
      <c r="E749">
        <v>2016</v>
      </c>
      <c r="F749">
        <v>1</v>
      </c>
      <c r="G749" t="s">
        <v>18</v>
      </c>
      <c r="H749">
        <v>1</v>
      </c>
      <c r="I749">
        <v>16</v>
      </c>
      <c r="J749" t="s">
        <v>22</v>
      </c>
      <c r="K749">
        <v>41</v>
      </c>
      <c r="L749">
        <v>13710</v>
      </c>
      <c r="M749">
        <v>3</v>
      </c>
      <c r="N749">
        <v>7</v>
      </c>
      <c r="O749">
        <v>7</v>
      </c>
    </row>
    <row r="750" spans="1:15" x14ac:dyDescent="0.3">
      <c r="A750" s="1">
        <v>42386</v>
      </c>
      <c r="B750">
        <v>92595</v>
      </c>
      <c r="C750">
        <v>86018</v>
      </c>
      <c r="D750">
        <v>2252</v>
      </c>
      <c r="E750">
        <v>2016</v>
      </c>
      <c r="F750">
        <v>1</v>
      </c>
      <c r="G750" t="s">
        <v>18</v>
      </c>
      <c r="H750">
        <v>1</v>
      </c>
      <c r="I750">
        <v>17</v>
      </c>
      <c r="J750" t="s">
        <v>23</v>
      </c>
      <c r="K750">
        <v>41</v>
      </c>
      <c r="L750">
        <v>6577</v>
      </c>
      <c r="M750">
        <v>3</v>
      </c>
      <c r="N750">
        <v>7</v>
      </c>
      <c r="O750">
        <v>7</v>
      </c>
    </row>
    <row r="751" spans="1:15" x14ac:dyDescent="0.3">
      <c r="A751" s="1">
        <v>42387</v>
      </c>
      <c r="B751">
        <v>96947</v>
      </c>
      <c r="C751">
        <v>89961</v>
      </c>
      <c r="D751">
        <v>2357</v>
      </c>
      <c r="E751">
        <v>2016</v>
      </c>
      <c r="F751">
        <v>1</v>
      </c>
      <c r="G751" t="s">
        <v>18</v>
      </c>
      <c r="H751">
        <v>1</v>
      </c>
      <c r="I751">
        <v>18</v>
      </c>
      <c r="J751" t="s">
        <v>16</v>
      </c>
      <c r="K751">
        <v>41</v>
      </c>
      <c r="L751">
        <v>6986</v>
      </c>
      <c r="M751">
        <v>3</v>
      </c>
      <c r="N751">
        <v>7</v>
      </c>
      <c r="O751">
        <v>7</v>
      </c>
    </row>
    <row r="752" spans="1:15" x14ac:dyDescent="0.3">
      <c r="A752" s="1">
        <v>42388</v>
      </c>
      <c r="B752">
        <v>70513</v>
      </c>
      <c r="C752">
        <v>65453</v>
      </c>
      <c r="D752">
        <v>1715</v>
      </c>
      <c r="E752">
        <v>2016</v>
      </c>
      <c r="F752">
        <v>1</v>
      </c>
      <c r="G752" t="s">
        <v>18</v>
      </c>
      <c r="H752">
        <v>1</v>
      </c>
      <c r="I752">
        <v>19</v>
      </c>
      <c r="J752" t="s">
        <v>17</v>
      </c>
      <c r="K752">
        <v>41</v>
      </c>
      <c r="L752">
        <v>5060</v>
      </c>
      <c r="M752">
        <v>3</v>
      </c>
      <c r="N752">
        <v>7</v>
      </c>
      <c r="O752">
        <v>7</v>
      </c>
    </row>
    <row r="753" spans="1:15" x14ac:dyDescent="0.3">
      <c r="A753" s="1">
        <v>42389</v>
      </c>
      <c r="B753">
        <v>159590</v>
      </c>
      <c r="C753">
        <v>182351</v>
      </c>
      <c r="D753">
        <v>4776</v>
      </c>
      <c r="E753">
        <v>2016</v>
      </c>
      <c r="F753">
        <v>1</v>
      </c>
      <c r="G753" t="s">
        <v>18</v>
      </c>
      <c r="H753">
        <v>1</v>
      </c>
      <c r="I753">
        <v>20</v>
      </c>
      <c r="J753" t="s">
        <v>19</v>
      </c>
      <c r="K753">
        <v>33</v>
      </c>
      <c r="L753">
        <v>-22761</v>
      </c>
      <c r="M753">
        <v>-5</v>
      </c>
      <c r="N753">
        <v>-14</v>
      </c>
      <c r="O753">
        <v>-14</v>
      </c>
    </row>
    <row r="754" spans="1:15" x14ac:dyDescent="0.3">
      <c r="A754" s="1">
        <v>42390</v>
      </c>
      <c r="B754">
        <v>67046</v>
      </c>
      <c r="C754">
        <v>61894</v>
      </c>
      <c r="D754">
        <v>1628</v>
      </c>
      <c r="E754">
        <v>2016</v>
      </c>
      <c r="F754">
        <v>1</v>
      </c>
      <c r="G754" t="s">
        <v>18</v>
      </c>
      <c r="H754">
        <v>1</v>
      </c>
      <c r="I754">
        <v>21</v>
      </c>
      <c r="J754" t="s">
        <v>20</v>
      </c>
      <c r="K754">
        <v>41</v>
      </c>
      <c r="L754">
        <v>5152</v>
      </c>
      <c r="M754">
        <v>3</v>
      </c>
      <c r="N754">
        <v>8</v>
      </c>
      <c r="O754">
        <v>8</v>
      </c>
    </row>
    <row r="755" spans="1:15" x14ac:dyDescent="0.3">
      <c r="A755" s="1">
        <v>42391</v>
      </c>
      <c r="B755">
        <v>266949</v>
      </c>
      <c r="C755">
        <v>294323</v>
      </c>
      <c r="D755">
        <v>7806</v>
      </c>
      <c r="E755">
        <v>2016</v>
      </c>
      <c r="F755">
        <v>1</v>
      </c>
      <c r="G755" t="s">
        <v>18</v>
      </c>
      <c r="H755">
        <v>1</v>
      </c>
      <c r="I755">
        <v>22</v>
      </c>
      <c r="J755" t="s">
        <v>21</v>
      </c>
      <c r="K755">
        <v>34</v>
      </c>
      <c r="L755">
        <v>-27374</v>
      </c>
      <c r="M755">
        <v>-4</v>
      </c>
      <c r="N755">
        <v>-10</v>
      </c>
      <c r="O755">
        <v>-10</v>
      </c>
    </row>
    <row r="756" spans="1:15" x14ac:dyDescent="0.3">
      <c r="A756" s="1">
        <v>42392</v>
      </c>
      <c r="B756">
        <v>315272</v>
      </c>
      <c r="C756">
        <v>346093</v>
      </c>
      <c r="D756">
        <v>9210</v>
      </c>
      <c r="E756">
        <v>2016</v>
      </c>
      <c r="F756">
        <v>1</v>
      </c>
      <c r="G756" t="s">
        <v>18</v>
      </c>
      <c r="H756">
        <v>1</v>
      </c>
      <c r="I756">
        <v>23</v>
      </c>
      <c r="J756" t="s">
        <v>22</v>
      </c>
      <c r="K756">
        <v>34</v>
      </c>
      <c r="L756">
        <v>-30821</v>
      </c>
      <c r="M756">
        <v>-3</v>
      </c>
      <c r="N756">
        <v>-10</v>
      </c>
      <c r="O756">
        <v>-10</v>
      </c>
    </row>
    <row r="757" spans="1:15" x14ac:dyDescent="0.3">
      <c r="A757" s="1">
        <v>42393</v>
      </c>
      <c r="B757">
        <v>149139</v>
      </c>
      <c r="C757">
        <v>163506</v>
      </c>
      <c r="D757">
        <v>4351</v>
      </c>
      <c r="E757">
        <v>2016</v>
      </c>
      <c r="F757">
        <v>1</v>
      </c>
      <c r="G757" t="s">
        <v>18</v>
      </c>
      <c r="H757">
        <v>1</v>
      </c>
      <c r="I757">
        <v>24</v>
      </c>
      <c r="J757" t="s">
        <v>23</v>
      </c>
      <c r="K757">
        <v>34</v>
      </c>
      <c r="L757">
        <v>-14367</v>
      </c>
      <c r="M757">
        <v>-3</v>
      </c>
      <c r="N757">
        <v>-10</v>
      </c>
      <c r="O757">
        <v>-10</v>
      </c>
    </row>
    <row r="758" spans="1:15" x14ac:dyDescent="0.3">
      <c r="A758" s="1">
        <v>42394</v>
      </c>
      <c r="B758">
        <v>215171</v>
      </c>
      <c r="C758">
        <v>234622</v>
      </c>
      <c r="D758">
        <v>6278</v>
      </c>
      <c r="E758">
        <v>2016</v>
      </c>
      <c r="F758">
        <v>1</v>
      </c>
      <c r="G758" t="s">
        <v>18</v>
      </c>
      <c r="H758">
        <v>1</v>
      </c>
      <c r="I758">
        <v>25</v>
      </c>
      <c r="J758" t="s">
        <v>16</v>
      </c>
      <c r="K758">
        <v>34</v>
      </c>
      <c r="L758">
        <v>-19451</v>
      </c>
      <c r="M758">
        <v>-3</v>
      </c>
      <c r="N758">
        <v>-9</v>
      </c>
      <c r="O758">
        <v>-9</v>
      </c>
    </row>
    <row r="759" spans="1:15" x14ac:dyDescent="0.3">
      <c r="A759" s="1">
        <v>42395</v>
      </c>
      <c r="B759">
        <v>205198</v>
      </c>
      <c r="C759">
        <v>221932</v>
      </c>
      <c r="D759">
        <v>5992</v>
      </c>
      <c r="E759">
        <v>2016</v>
      </c>
      <c r="F759">
        <v>1</v>
      </c>
      <c r="G759" t="s">
        <v>18</v>
      </c>
      <c r="H759">
        <v>1</v>
      </c>
      <c r="I759">
        <v>26</v>
      </c>
      <c r="J759" t="s">
        <v>17</v>
      </c>
      <c r="K759">
        <v>34</v>
      </c>
      <c r="L759">
        <v>-16734</v>
      </c>
      <c r="M759">
        <v>-3</v>
      </c>
      <c r="N759">
        <v>-8</v>
      </c>
      <c r="O759">
        <v>-8</v>
      </c>
    </row>
    <row r="760" spans="1:15" x14ac:dyDescent="0.3">
      <c r="A760" s="1">
        <v>42396</v>
      </c>
      <c r="B760">
        <v>214452</v>
      </c>
      <c r="C760">
        <v>231730</v>
      </c>
      <c r="D760">
        <v>6265</v>
      </c>
      <c r="E760">
        <v>2016</v>
      </c>
      <c r="F760">
        <v>1</v>
      </c>
      <c r="G760" t="s">
        <v>18</v>
      </c>
      <c r="H760">
        <v>1</v>
      </c>
      <c r="I760">
        <v>27</v>
      </c>
      <c r="J760" t="s">
        <v>19</v>
      </c>
      <c r="K760">
        <v>34</v>
      </c>
      <c r="L760">
        <v>-17278</v>
      </c>
      <c r="M760">
        <v>-3</v>
      </c>
      <c r="N760">
        <v>-8</v>
      </c>
      <c r="O760">
        <v>-8</v>
      </c>
    </row>
    <row r="761" spans="1:15" x14ac:dyDescent="0.3">
      <c r="A761" s="1">
        <v>42397</v>
      </c>
      <c r="B761">
        <v>195768</v>
      </c>
      <c r="C761">
        <v>210640</v>
      </c>
      <c r="D761">
        <v>5723</v>
      </c>
      <c r="E761">
        <v>2016</v>
      </c>
      <c r="F761">
        <v>1</v>
      </c>
      <c r="G761" t="s">
        <v>18</v>
      </c>
      <c r="H761">
        <v>1</v>
      </c>
      <c r="I761">
        <v>28</v>
      </c>
      <c r="J761" t="s">
        <v>20</v>
      </c>
      <c r="K761">
        <v>34</v>
      </c>
      <c r="L761">
        <v>-14872</v>
      </c>
      <c r="M761">
        <v>-3</v>
      </c>
      <c r="N761">
        <v>-8</v>
      </c>
      <c r="O761">
        <v>-8</v>
      </c>
    </row>
    <row r="762" spans="1:15" x14ac:dyDescent="0.3">
      <c r="A762" s="1">
        <v>42398</v>
      </c>
      <c r="B762">
        <v>397984</v>
      </c>
      <c r="C762">
        <v>437199</v>
      </c>
      <c r="D762">
        <v>11900</v>
      </c>
      <c r="E762">
        <v>2016</v>
      </c>
      <c r="F762">
        <v>1</v>
      </c>
      <c r="G762" t="s">
        <v>18</v>
      </c>
      <c r="H762">
        <v>1</v>
      </c>
      <c r="I762">
        <v>29</v>
      </c>
      <c r="J762" t="s">
        <v>21</v>
      </c>
      <c r="K762">
        <v>33</v>
      </c>
      <c r="L762">
        <v>-39215</v>
      </c>
      <c r="M762">
        <v>-3</v>
      </c>
      <c r="N762">
        <v>-10</v>
      </c>
      <c r="O762">
        <v>-10</v>
      </c>
    </row>
    <row r="763" spans="1:15" x14ac:dyDescent="0.3">
      <c r="A763" s="1">
        <v>42399</v>
      </c>
      <c r="B763">
        <v>512603</v>
      </c>
      <c r="C763">
        <v>561872</v>
      </c>
      <c r="D763">
        <v>15345</v>
      </c>
      <c r="E763">
        <v>2016</v>
      </c>
      <c r="F763">
        <v>1</v>
      </c>
      <c r="G763" t="s">
        <v>18</v>
      </c>
      <c r="H763">
        <v>1</v>
      </c>
      <c r="I763">
        <v>30</v>
      </c>
      <c r="J763" t="s">
        <v>22</v>
      </c>
      <c r="K763">
        <v>33</v>
      </c>
      <c r="L763">
        <v>-49269</v>
      </c>
      <c r="M763">
        <v>-3</v>
      </c>
      <c r="N763">
        <v>-10</v>
      </c>
      <c r="O763">
        <v>-10</v>
      </c>
    </row>
    <row r="764" spans="1:15" x14ac:dyDescent="0.3">
      <c r="A764" s="1">
        <v>42400</v>
      </c>
      <c r="B764">
        <v>218104</v>
      </c>
      <c r="C764">
        <v>238662</v>
      </c>
      <c r="D764">
        <v>6525</v>
      </c>
      <c r="E764">
        <v>2016</v>
      </c>
      <c r="F764">
        <v>1</v>
      </c>
      <c r="G764" t="s">
        <v>18</v>
      </c>
      <c r="H764">
        <v>1</v>
      </c>
      <c r="I764">
        <v>31</v>
      </c>
      <c r="J764" t="s">
        <v>23</v>
      </c>
      <c r="K764">
        <v>33</v>
      </c>
      <c r="L764">
        <v>-20558</v>
      </c>
      <c r="M764">
        <v>-3</v>
      </c>
      <c r="N764">
        <v>-9</v>
      </c>
      <c r="O764">
        <v>-9</v>
      </c>
    </row>
    <row r="765" spans="1:15" x14ac:dyDescent="0.3">
      <c r="A765" s="1">
        <v>42401</v>
      </c>
      <c r="B765">
        <v>339004</v>
      </c>
      <c r="C765">
        <v>371177</v>
      </c>
      <c r="D765">
        <v>10153</v>
      </c>
      <c r="E765">
        <v>2016</v>
      </c>
      <c r="F765">
        <v>2</v>
      </c>
      <c r="G765" t="s">
        <v>24</v>
      </c>
      <c r="H765">
        <v>1</v>
      </c>
      <c r="I765">
        <v>1</v>
      </c>
      <c r="J765" t="s">
        <v>16</v>
      </c>
      <c r="K765">
        <v>33</v>
      </c>
      <c r="L765">
        <v>-32173</v>
      </c>
      <c r="M765">
        <v>-3</v>
      </c>
      <c r="N765">
        <v>-9</v>
      </c>
      <c r="O765">
        <v>-9</v>
      </c>
    </row>
    <row r="766" spans="1:15" x14ac:dyDescent="0.3">
      <c r="A766" s="1">
        <v>42402</v>
      </c>
      <c r="B766">
        <v>278116</v>
      </c>
      <c r="C766">
        <v>295646</v>
      </c>
      <c r="D766">
        <v>8116</v>
      </c>
      <c r="E766">
        <v>2016</v>
      </c>
      <c r="F766">
        <v>2</v>
      </c>
      <c r="G766" t="s">
        <v>24</v>
      </c>
      <c r="H766">
        <v>1</v>
      </c>
      <c r="I766">
        <v>2</v>
      </c>
      <c r="J766" t="s">
        <v>17</v>
      </c>
      <c r="K766">
        <v>34</v>
      </c>
      <c r="L766">
        <v>-17529</v>
      </c>
      <c r="M766">
        <v>-2</v>
      </c>
      <c r="N766">
        <v>-6</v>
      </c>
      <c r="O766">
        <v>-6</v>
      </c>
    </row>
    <row r="767" spans="1:15" x14ac:dyDescent="0.3">
      <c r="A767" s="1">
        <v>42403</v>
      </c>
      <c r="B767">
        <v>264159</v>
      </c>
      <c r="C767">
        <v>280392</v>
      </c>
      <c r="D767">
        <v>7712</v>
      </c>
      <c r="E767">
        <v>2016</v>
      </c>
      <c r="F767">
        <v>2</v>
      </c>
      <c r="G767" t="s">
        <v>24</v>
      </c>
      <c r="H767">
        <v>1</v>
      </c>
      <c r="I767">
        <v>3</v>
      </c>
      <c r="J767" t="s">
        <v>19</v>
      </c>
      <c r="K767">
        <v>34</v>
      </c>
      <c r="L767">
        <v>-16233</v>
      </c>
      <c r="M767">
        <v>-2</v>
      </c>
      <c r="N767">
        <v>-6</v>
      </c>
      <c r="O767">
        <v>-6</v>
      </c>
    </row>
    <row r="768" spans="1:15" x14ac:dyDescent="0.3">
      <c r="A768" s="1">
        <v>42404</v>
      </c>
      <c r="B768">
        <v>197778</v>
      </c>
      <c r="C768">
        <v>209372</v>
      </c>
      <c r="D768">
        <v>5759</v>
      </c>
      <c r="E768">
        <v>2016</v>
      </c>
      <c r="F768">
        <v>2</v>
      </c>
      <c r="G768" t="s">
        <v>24</v>
      </c>
      <c r="H768">
        <v>1</v>
      </c>
      <c r="I768">
        <v>4</v>
      </c>
      <c r="J768" t="s">
        <v>20</v>
      </c>
      <c r="K768">
        <v>34</v>
      </c>
      <c r="L768">
        <v>-11594</v>
      </c>
      <c r="M768">
        <v>-2</v>
      </c>
      <c r="N768">
        <v>-6</v>
      </c>
      <c r="O768">
        <v>-6</v>
      </c>
    </row>
    <row r="769" spans="1:15" x14ac:dyDescent="0.3">
      <c r="A769" s="1">
        <v>42405</v>
      </c>
      <c r="B769">
        <v>325749</v>
      </c>
      <c r="C769">
        <v>345288</v>
      </c>
      <c r="D769">
        <v>9501</v>
      </c>
      <c r="E769">
        <v>2016</v>
      </c>
      <c r="F769">
        <v>2</v>
      </c>
      <c r="G769" t="s">
        <v>24</v>
      </c>
      <c r="H769">
        <v>1</v>
      </c>
      <c r="I769">
        <v>5</v>
      </c>
      <c r="J769" t="s">
        <v>21</v>
      </c>
      <c r="K769">
        <v>34</v>
      </c>
      <c r="L769">
        <v>-19539</v>
      </c>
      <c r="M769">
        <v>-2</v>
      </c>
      <c r="N769">
        <v>-6</v>
      </c>
      <c r="O769">
        <v>-6</v>
      </c>
    </row>
    <row r="770" spans="1:15" x14ac:dyDescent="0.3">
      <c r="A770" s="1">
        <v>42406</v>
      </c>
      <c r="B770">
        <v>371562</v>
      </c>
      <c r="C770">
        <v>393884</v>
      </c>
      <c r="D770">
        <v>10840</v>
      </c>
      <c r="E770">
        <v>2016</v>
      </c>
      <c r="F770">
        <v>2</v>
      </c>
      <c r="G770" t="s">
        <v>24</v>
      </c>
      <c r="H770">
        <v>1</v>
      </c>
      <c r="I770">
        <v>6</v>
      </c>
      <c r="J770" t="s">
        <v>22</v>
      </c>
      <c r="K770">
        <v>34</v>
      </c>
      <c r="L770">
        <v>-22322</v>
      </c>
      <c r="M770">
        <v>-2</v>
      </c>
      <c r="N770">
        <v>-6</v>
      </c>
      <c r="O770">
        <v>-6</v>
      </c>
    </row>
    <row r="771" spans="1:15" x14ac:dyDescent="0.3">
      <c r="A771" s="1">
        <v>42407</v>
      </c>
      <c r="B771">
        <v>174582</v>
      </c>
      <c r="C771">
        <v>185041</v>
      </c>
      <c r="D771">
        <v>5089</v>
      </c>
      <c r="E771">
        <v>2016</v>
      </c>
      <c r="F771">
        <v>2</v>
      </c>
      <c r="G771" t="s">
        <v>24</v>
      </c>
      <c r="H771">
        <v>1</v>
      </c>
      <c r="I771">
        <v>7</v>
      </c>
      <c r="J771" t="s">
        <v>23</v>
      </c>
      <c r="K771">
        <v>34</v>
      </c>
      <c r="L771">
        <v>-10459</v>
      </c>
      <c r="M771">
        <v>-2</v>
      </c>
      <c r="N771">
        <v>-6</v>
      </c>
      <c r="O771">
        <v>-6</v>
      </c>
    </row>
    <row r="772" spans="1:15" x14ac:dyDescent="0.3">
      <c r="A772" s="1">
        <v>42408</v>
      </c>
      <c r="B772">
        <v>208489</v>
      </c>
      <c r="C772">
        <v>221373</v>
      </c>
      <c r="D772">
        <v>6087</v>
      </c>
      <c r="E772">
        <v>2016</v>
      </c>
      <c r="F772">
        <v>2</v>
      </c>
      <c r="G772" t="s">
        <v>24</v>
      </c>
      <c r="H772">
        <v>1</v>
      </c>
      <c r="I772">
        <v>8</v>
      </c>
      <c r="J772" t="s">
        <v>16</v>
      </c>
      <c r="K772">
        <v>34</v>
      </c>
      <c r="L772">
        <v>-12883</v>
      </c>
      <c r="M772">
        <v>-2</v>
      </c>
      <c r="N772">
        <v>-6</v>
      </c>
      <c r="O772">
        <v>-6</v>
      </c>
    </row>
    <row r="773" spans="1:15" x14ac:dyDescent="0.3">
      <c r="A773" s="1">
        <v>42409</v>
      </c>
      <c r="B773">
        <v>84495</v>
      </c>
      <c r="C773">
        <v>74682</v>
      </c>
      <c r="D773">
        <v>2053</v>
      </c>
      <c r="E773">
        <v>2016</v>
      </c>
      <c r="F773">
        <v>2</v>
      </c>
      <c r="G773" t="s">
        <v>24</v>
      </c>
      <c r="H773">
        <v>1</v>
      </c>
      <c r="I773">
        <v>9</v>
      </c>
      <c r="J773" t="s">
        <v>17</v>
      </c>
      <c r="K773">
        <v>41</v>
      </c>
      <c r="L773">
        <v>9813</v>
      </c>
      <c r="M773">
        <v>5</v>
      </c>
      <c r="N773">
        <v>12</v>
      </c>
      <c r="O773">
        <v>12</v>
      </c>
    </row>
    <row r="774" spans="1:15" x14ac:dyDescent="0.3">
      <c r="A774" s="1">
        <v>42410</v>
      </c>
      <c r="B774">
        <v>76661</v>
      </c>
      <c r="C774">
        <v>66380</v>
      </c>
      <c r="D774">
        <v>1825</v>
      </c>
      <c r="E774">
        <v>2016</v>
      </c>
      <c r="F774">
        <v>2</v>
      </c>
      <c r="G774" t="s">
        <v>24</v>
      </c>
      <c r="H774">
        <v>1</v>
      </c>
      <c r="I774">
        <v>10</v>
      </c>
      <c r="J774" t="s">
        <v>19</v>
      </c>
      <c r="K774">
        <v>42</v>
      </c>
      <c r="L774">
        <v>10282</v>
      </c>
      <c r="M774">
        <v>6</v>
      </c>
      <c r="N774">
        <v>13</v>
      </c>
      <c r="O774">
        <v>13</v>
      </c>
    </row>
    <row r="775" spans="1:15" x14ac:dyDescent="0.3">
      <c r="A775" s="1">
        <v>42411</v>
      </c>
      <c r="B775">
        <v>64035</v>
      </c>
      <c r="C775">
        <v>55491</v>
      </c>
      <c r="D775">
        <v>1525</v>
      </c>
      <c r="E775">
        <v>2016</v>
      </c>
      <c r="F775">
        <v>2</v>
      </c>
      <c r="G775" t="s">
        <v>24</v>
      </c>
      <c r="H775">
        <v>1</v>
      </c>
      <c r="I775">
        <v>11</v>
      </c>
      <c r="J775" t="s">
        <v>20</v>
      </c>
      <c r="K775">
        <v>42</v>
      </c>
      <c r="L775">
        <v>8544</v>
      </c>
      <c r="M775">
        <v>6</v>
      </c>
      <c r="N775">
        <v>13</v>
      </c>
      <c r="O775">
        <v>13</v>
      </c>
    </row>
    <row r="776" spans="1:15" x14ac:dyDescent="0.3">
      <c r="A776" s="1">
        <v>42412</v>
      </c>
      <c r="B776">
        <v>148840</v>
      </c>
      <c r="C776">
        <v>129583</v>
      </c>
      <c r="D776">
        <v>3542</v>
      </c>
      <c r="E776">
        <v>2016</v>
      </c>
      <c r="F776">
        <v>2</v>
      </c>
      <c r="G776" t="s">
        <v>24</v>
      </c>
      <c r="H776">
        <v>1</v>
      </c>
      <c r="I776">
        <v>12</v>
      </c>
      <c r="J776" t="s">
        <v>21</v>
      </c>
      <c r="K776">
        <v>42</v>
      </c>
      <c r="L776">
        <v>19256</v>
      </c>
      <c r="M776">
        <v>5</v>
      </c>
      <c r="N776">
        <v>13</v>
      </c>
      <c r="O776">
        <v>13</v>
      </c>
    </row>
    <row r="777" spans="1:15" x14ac:dyDescent="0.3">
      <c r="A777" s="1">
        <v>42413</v>
      </c>
      <c r="B777">
        <v>172542</v>
      </c>
      <c r="C777">
        <v>150539</v>
      </c>
      <c r="D777">
        <v>4105</v>
      </c>
      <c r="E777">
        <v>2016</v>
      </c>
      <c r="F777">
        <v>2</v>
      </c>
      <c r="G777" t="s">
        <v>24</v>
      </c>
      <c r="H777">
        <v>1</v>
      </c>
      <c r="I777">
        <v>13</v>
      </c>
      <c r="J777" t="s">
        <v>22</v>
      </c>
      <c r="K777">
        <v>42</v>
      </c>
      <c r="L777">
        <v>22003</v>
      </c>
      <c r="M777">
        <v>5</v>
      </c>
      <c r="N777">
        <v>13</v>
      </c>
      <c r="O777">
        <v>13</v>
      </c>
    </row>
    <row r="778" spans="1:15" x14ac:dyDescent="0.3">
      <c r="A778" s="1">
        <v>42414</v>
      </c>
      <c r="B778">
        <v>87992</v>
      </c>
      <c r="C778">
        <v>76379</v>
      </c>
      <c r="D778">
        <v>2094</v>
      </c>
      <c r="E778">
        <v>2016</v>
      </c>
      <c r="F778">
        <v>2</v>
      </c>
      <c r="G778" t="s">
        <v>24</v>
      </c>
      <c r="H778">
        <v>1</v>
      </c>
      <c r="I778">
        <v>14</v>
      </c>
      <c r="J778" t="s">
        <v>23</v>
      </c>
      <c r="K778">
        <v>42</v>
      </c>
      <c r="L778">
        <v>11613</v>
      </c>
      <c r="M778">
        <v>6</v>
      </c>
      <c r="N778">
        <v>13</v>
      </c>
      <c r="O778">
        <v>13</v>
      </c>
    </row>
    <row r="779" spans="1:15" x14ac:dyDescent="0.3">
      <c r="A779" s="1">
        <v>42415</v>
      </c>
      <c r="B779">
        <v>123445</v>
      </c>
      <c r="C779">
        <v>108669</v>
      </c>
      <c r="D779">
        <v>2940</v>
      </c>
      <c r="E779">
        <v>2016</v>
      </c>
      <c r="F779">
        <v>2</v>
      </c>
      <c r="G779" t="s">
        <v>24</v>
      </c>
      <c r="H779">
        <v>1</v>
      </c>
      <c r="I779">
        <v>15</v>
      </c>
      <c r="J779" t="s">
        <v>16</v>
      </c>
      <c r="K779">
        <v>42</v>
      </c>
      <c r="L779">
        <v>14776</v>
      </c>
      <c r="M779">
        <v>5</v>
      </c>
      <c r="N779">
        <v>12</v>
      </c>
      <c r="O779">
        <v>12</v>
      </c>
    </row>
    <row r="780" spans="1:15" x14ac:dyDescent="0.3">
      <c r="A780" s="1">
        <v>42416</v>
      </c>
      <c r="B780">
        <v>77345</v>
      </c>
      <c r="C780">
        <v>68269</v>
      </c>
      <c r="D780">
        <v>1841</v>
      </c>
      <c r="E780">
        <v>2016</v>
      </c>
      <c r="F780">
        <v>2</v>
      </c>
      <c r="G780" t="s">
        <v>24</v>
      </c>
      <c r="H780">
        <v>1</v>
      </c>
      <c r="I780">
        <v>16</v>
      </c>
      <c r="J780" t="s">
        <v>17</v>
      </c>
      <c r="K780">
        <v>42</v>
      </c>
      <c r="L780">
        <v>9075</v>
      </c>
      <c r="M780">
        <v>5</v>
      </c>
      <c r="N780">
        <v>12</v>
      </c>
      <c r="O780">
        <v>12</v>
      </c>
    </row>
    <row r="781" spans="1:15" x14ac:dyDescent="0.3">
      <c r="A781" s="1">
        <v>42417</v>
      </c>
      <c r="B781">
        <v>158963</v>
      </c>
      <c r="C781">
        <v>167522</v>
      </c>
      <c r="D781">
        <v>4529</v>
      </c>
      <c r="E781">
        <v>2016</v>
      </c>
      <c r="F781">
        <v>2</v>
      </c>
      <c r="G781" t="s">
        <v>24</v>
      </c>
      <c r="H781">
        <v>1</v>
      </c>
      <c r="I781">
        <v>17</v>
      </c>
      <c r="J781" t="s">
        <v>19</v>
      </c>
      <c r="K781">
        <v>35</v>
      </c>
      <c r="L781">
        <v>-8559</v>
      </c>
      <c r="M781">
        <v>-2</v>
      </c>
      <c r="N781">
        <v>-5</v>
      </c>
      <c r="O781">
        <v>-5</v>
      </c>
    </row>
    <row r="782" spans="1:15" x14ac:dyDescent="0.3">
      <c r="A782" s="1">
        <v>42418</v>
      </c>
      <c r="B782">
        <v>69598</v>
      </c>
      <c r="C782">
        <v>61493</v>
      </c>
      <c r="D782">
        <v>1658</v>
      </c>
      <c r="E782">
        <v>2016</v>
      </c>
      <c r="F782">
        <v>2</v>
      </c>
      <c r="G782" t="s">
        <v>24</v>
      </c>
      <c r="H782">
        <v>1</v>
      </c>
      <c r="I782">
        <v>18</v>
      </c>
      <c r="J782" t="s">
        <v>20</v>
      </c>
      <c r="K782">
        <v>42</v>
      </c>
      <c r="L782">
        <v>8105</v>
      </c>
      <c r="M782">
        <v>5</v>
      </c>
      <c r="N782">
        <v>12</v>
      </c>
      <c r="O782">
        <v>12</v>
      </c>
    </row>
    <row r="783" spans="1:15" x14ac:dyDescent="0.3">
      <c r="A783" s="1">
        <v>42419</v>
      </c>
      <c r="B783">
        <v>161276</v>
      </c>
      <c r="C783">
        <v>143446</v>
      </c>
      <c r="D783">
        <v>3841</v>
      </c>
      <c r="E783">
        <v>2016</v>
      </c>
      <c r="F783">
        <v>2</v>
      </c>
      <c r="G783" t="s">
        <v>24</v>
      </c>
      <c r="H783">
        <v>1</v>
      </c>
      <c r="I783">
        <v>19</v>
      </c>
      <c r="J783" t="s">
        <v>21</v>
      </c>
      <c r="K783">
        <v>42</v>
      </c>
      <c r="L783">
        <v>17829</v>
      </c>
      <c r="M783">
        <v>5</v>
      </c>
      <c r="N783">
        <v>11</v>
      </c>
      <c r="O783">
        <v>11</v>
      </c>
    </row>
    <row r="784" spans="1:15" x14ac:dyDescent="0.3">
      <c r="A784" s="1">
        <v>42420</v>
      </c>
      <c r="B784">
        <v>325215</v>
      </c>
      <c r="C784">
        <v>345446</v>
      </c>
      <c r="D784">
        <v>9260</v>
      </c>
      <c r="E784">
        <v>2016</v>
      </c>
      <c r="F784">
        <v>2</v>
      </c>
      <c r="G784" t="s">
        <v>24</v>
      </c>
      <c r="H784">
        <v>1</v>
      </c>
      <c r="I784">
        <v>20</v>
      </c>
      <c r="J784" t="s">
        <v>22</v>
      </c>
      <c r="K784">
        <v>35</v>
      </c>
      <c r="L784">
        <v>-20231</v>
      </c>
      <c r="M784">
        <v>-2</v>
      </c>
      <c r="N784">
        <v>-6</v>
      </c>
      <c r="O784">
        <v>-6</v>
      </c>
    </row>
    <row r="785" spans="1:15" x14ac:dyDescent="0.3">
      <c r="A785" s="1">
        <v>42421</v>
      </c>
      <c r="B785">
        <v>96957</v>
      </c>
      <c r="C785">
        <v>86455</v>
      </c>
      <c r="D785">
        <v>2308</v>
      </c>
      <c r="E785">
        <v>2016</v>
      </c>
      <c r="F785">
        <v>2</v>
      </c>
      <c r="G785" t="s">
        <v>24</v>
      </c>
      <c r="H785">
        <v>1</v>
      </c>
      <c r="I785">
        <v>21</v>
      </c>
      <c r="J785" t="s">
        <v>23</v>
      </c>
      <c r="K785">
        <v>42</v>
      </c>
      <c r="L785">
        <v>10502</v>
      </c>
      <c r="M785">
        <v>5</v>
      </c>
      <c r="N785">
        <v>11</v>
      </c>
      <c r="O785">
        <v>11</v>
      </c>
    </row>
    <row r="786" spans="1:15" x14ac:dyDescent="0.3">
      <c r="A786" s="1">
        <v>42422</v>
      </c>
      <c r="B786">
        <v>85224</v>
      </c>
      <c r="C786">
        <v>75961</v>
      </c>
      <c r="D786">
        <v>2028</v>
      </c>
      <c r="E786">
        <v>2016</v>
      </c>
      <c r="F786">
        <v>2</v>
      </c>
      <c r="G786" t="s">
        <v>24</v>
      </c>
      <c r="H786">
        <v>1</v>
      </c>
      <c r="I786">
        <v>22</v>
      </c>
      <c r="J786" t="s">
        <v>16</v>
      </c>
      <c r="K786">
        <v>42</v>
      </c>
      <c r="L786">
        <v>9264</v>
      </c>
      <c r="M786">
        <v>5</v>
      </c>
      <c r="N786">
        <v>11</v>
      </c>
      <c r="O786">
        <v>11</v>
      </c>
    </row>
    <row r="787" spans="1:15" x14ac:dyDescent="0.3">
      <c r="A787" s="1">
        <v>42423</v>
      </c>
      <c r="B787">
        <v>54613</v>
      </c>
      <c r="C787">
        <v>49072</v>
      </c>
      <c r="D787">
        <v>1301</v>
      </c>
      <c r="E787">
        <v>2016</v>
      </c>
      <c r="F787">
        <v>2</v>
      </c>
      <c r="G787" t="s">
        <v>24</v>
      </c>
      <c r="H787">
        <v>1</v>
      </c>
      <c r="I787">
        <v>23</v>
      </c>
      <c r="J787" t="s">
        <v>17</v>
      </c>
      <c r="K787">
        <v>42</v>
      </c>
      <c r="L787">
        <v>5541</v>
      </c>
      <c r="M787">
        <v>4</v>
      </c>
      <c r="N787">
        <v>10</v>
      </c>
      <c r="O787">
        <v>10</v>
      </c>
    </row>
    <row r="788" spans="1:15" x14ac:dyDescent="0.3">
      <c r="A788" s="1">
        <v>42424</v>
      </c>
      <c r="B788">
        <v>81531</v>
      </c>
      <c r="C788">
        <v>81738</v>
      </c>
      <c r="D788">
        <v>2213</v>
      </c>
      <c r="E788">
        <v>2016</v>
      </c>
      <c r="F788">
        <v>2</v>
      </c>
      <c r="G788" t="s">
        <v>24</v>
      </c>
      <c r="H788">
        <v>1</v>
      </c>
      <c r="I788">
        <v>24</v>
      </c>
      <c r="J788" t="s">
        <v>19</v>
      </c>
      <c r="K788">
        <v>37</v>
      </c>
      <c r="L788">
        <v>-207</v>
      </c>
      <c r="M788">
        <v>0</v>
      </c>
      <c r="N788">
        <v>0</v>
      </c>
      <c r="O788">
        <v>0</v>
      </c>
    </row>
    <row r="789" spans="1:15" x14ac:dyDescent="0.3">
      <c r="A789" s="1">
        <v>42425</v>
      </c>
      <c r="B789">
        <v>160948</v>
      </c>
      <c r="C789">
        <v>162597</v>
      </c>
      <c r="D789">
        <v>4404</v>
      </c>
      <c r="E789">
        <v>2016</v>
      </c>
      <c r="F789">
        <v>2</v>
      </c>
      <c r="G789" t="s">
        <v>24</v>
      </c>
      <c r="H789">
        <v>1</v>
      </c>
      <c r="I789">
        <v>25</v>
      </c>
      <c r="J789" t="s">
        <v>20</v>
      </c>
      <c r="K789">
        <v>37</v>
      </c>
      <c r="L789">
        <v>-1650</v>
      </c>
      <c r="M789">
        <v>0</v>
      </c>
      <c r="N789">
        <v>-1</v>
      </c>
      <c r="O789">
        <v>-1</v>
      </c>
    </row>
    <row r="790" spans="1:15" x14ac:dyDescent="0.3">
      <c r="A790" s="1">
        <v>42426</v>
      </c>
      <c r="B790">
        <v>188736</v>
      </c>
      <c r="C790">
        <v>183103</v>
      </c>
      <c r="D790">
        <v>4935</v>
      </c>
      <c r="E790">
        <v>2016</v>
      </c>
      <c r="F790">
        <v>2</v>
      </c>
      <c r="G790" t="s">
        <v>24</v>
      </c>
      <c r="H790">
        <v>1</v>
      </c>
      <c r="I790">
        <v>26</v>
      </c>
      <c r="J790" t="s">
        <v>21</v>
      </c>
      <c r="K790">
        <v>38</v>
      </c>
      <c r="L790">
        <v>5633</v>
      </c>
      <c r="M790">
        <v>1</v>
      </c>
      <c r="N790">
        <v>3</v>
      </c>
      <c r="O790">
        <v>3</v>
      </c>
    </row>
    <row r="791" spans="1:15" x14ac:dyDescent="0.3">
      <c r="A791" s="1">
        <v>42427</v>
      </c>
      <c r="B791">
        <v>215952</v>
      </c>
      <c r="C791">
        <v>210033</v>
      </c>
      <c r="D791">
        <v>5609</v>
      </c>
      <c r="E791">
        <v>2016</v>
      </c>
      <c r="F791">
        <v>2</v>
      </c>
      <c r="G791" t="s">
        <v>24</v>
      </c>
      <c r="H791">
        <v>1</v>
      </c>
      <c r="I791">
        <v>27</v>
      </c>
      <c r="J791" t="s">
        <v>22</v>
      </c>
      <c r="K791">
        <v>39</v>
      </c>
      <c r="L791">
        <v>5919</v>
      </c>
      <c r="M791">
        <v>1</v>
      </c>
      <c r="N791">
        <v>3</v>
      </c>
      <c r="O791">
        <v>3</v>
      </c>
    </row>
    <row r="792" spans="1:15" x14ac:dyDescent="0.3">
      <c r="A792" s="1">
        <v>42428</v>
      </c>
      <c r="B792">
        <v>134996</v>
      </c>
      <c r="C792">
        <v>129939</v>
      </c>
      <c r="D792">
        <v>3452</v>
      </c>
      <c r="E792">
        <v>2016</v>
      </c>
      <c r="F792">
        <v>2</v>
      </c>
      <c r="G792" t="s">
        <v>24</v>
      </c>
      <c r="H792">
        <v>1</v>
      </c>
      <c r="I792">
        <v>28</v>
      </c>
      <c r="J792" t="s">
        <v>23</v>
      </c>
      <c r="K792">
        <v>39</v>
      </c>
      <c r="L792">
        <v>5057</v>
      </c>
      <c r="M792">
        <v>1</v>
      </c>
      <c r="N792">
        <v>4</v>
      </c>
      <c r="O792">
        <v>4</v>
      </c>
    </row>
    <row r="793" spans="1:15" x14ac:dyDescent="0.3">
      <c r="A793" s="1">
        <v>42429</v>
      </c>
      <c r="B793">
        <v>163079</v>
      </c>
      <c r="C793">
        <v>160333</v>
      </c>
      <c r="D793">
        <v>4270</v>
      </c>
      <c r="E793">
        <v>2016</v>
      </c>
      <c r="F793">
        <v>2</v>
      </c>
      <c r="G793" t="s">
        <v>24</v>
      </c>
      <c r="H793">
        <v>1</v>
      </c>
      <c r="I793">
        <v>29</v>
      </c>
      <c r="J793" t="s">
        <v>16</v>
      </c>
      <c r="K793">
        <v>38</v>
      </c>
      <c r="L793">
        <v>2747</v>
      </c>
      <c r="M793">
        <v>1</v>
      </c>
      <c r="N793">
        <v>2</v>
      </c>
      <c r="O793">
        <v>2</v>
      </c>
    </row>
    <row r="794" spans="1:15" x14ac:dyDescent="0.3">
      <c r="A794" s="1">
        <v>42430</v>
      </c>
      <c r="B794">
        <v>180829</v>
      </c>
      <c r="C794">
        <v>182962</v>
      </c>
      <c r="D794">
        <v>4719</v>
      </c>
      <c r="E794">
        <v>2016</v>
      </c>
      <c r="F794">
        <v>3</v>
      </c>
      <c r="G794" t="s">
        <v>25</v>
      </c>
      <c r="H794">
        <v>1</v>
      </c>
      <c r="I794">
        <v>1</v>
      </c>
      <c r="J794" t="s">
        <v>17</v>
      </c>
      <c r="K794">
        <v>38</v>
      </c>
      <c r="L794">
        <v>-2134</v>
      </c>
      <c r="M794">
        <v>0</v>
      </c>
      <c r="N794">
        <v>-1</v>
      </c>
      <c r="O794">
        <v>-1</v>
      </c>
    </row>
    <row r="795" spans="1:15" x14ac:dyDescent="0.3">
      <c r="A795" s="1">
        <v>42431</v>
      </c>
      <c r="B795">
        <v>171196</v>
      </c>
      <c r="C795">
        <v>174429</v>
      </c>
      <c r="D795">
        <v>4451</v>
      </c>
      <c r="E795">
        <v>2016</v>
      </c>
      <c r="F795">
        <v>3</v>
      </c>
      <c r="G795" t="s">
        <v>25</v>
      </c>
      <c r="H795">
        <v>1</v>
      </c>
      <c r="I795">
        <v>2</v>
      </c>
      <c r="J795" t="s">
        <v>19</v>
      </c>
      <c r="K795">
        <v>38</v>
      </c>
      <c r="L795">
        <v>-3233</v>
      </c>
      <c r="M795">
        <v>-1</v>
      </c>
      <c r="N795">
        <v>-2</v>
      </c>
      <c r="O795">
        <v>-2</v>
      </c>
    </row>
    <row r="796" spans="1:15" x14ac:dyDescent="0.3">
      <c r="A796" s="1">
        <v>42432</v>
      </c>
      <c r="B796">
        <v>129719</v>
      </c>
      <c r="C796">
        <v>131962</v>
      </c>
      <c r="D796">
        <v>3364</v>
      </c>
      <c r="E796">
        <v>2016</v>
      </c>
      <c r="F796">
        <v>3</v>
      </c>
      <c r="G796" t="s">
        <v>25</v>
      </c>
      <c r="H796">
        <v>1</v>
      </c>
      <c r="I796">
        <v>3</v>
      </c>
      <c r="J796" t="s">
        <v>20</v>
      </c>
      <c r="K796">
        <v>39</v>
      </c>
      <c r="L796">
        <v>-2243</v>
      </c>
      <c r="M796">
        <v>-1</v>
      </c>
      <c r="N796">
        <v>-2</v>
      </c>
      <c r="O796">
        <v>-2</v>
      </c>
    </row>
    <row r="797" spans="1:15" x14ac:dyDescent="0.3">
      <c r="A797" s="1">
        <v>42433</v>
      </c>
      <c r="B797">
        <v>142128</v>
      </c>
      <c r="C797">
        <v>144039</v>
      </c>
      <c r="D797">
        <v>3665</v>
      </c>
      <c r="E797">
        <v>2016</v>
      </c>
      <c r="F797">
        <v>3</v>
      </c>
      <c r="G797" t="s">
        <v>25</v>
      </c>
      <c r="H797">
        <v>1</v>
      </c>
      <c r="I797">
        <v>4</v>
      </c>
      <c r="J797" t="s">
        <v>21</v>
      </c>
      <c r="K797">
        <v>39</v>
      </c>
      <c r="L797">
        <v>-1912</v>
      </c>
      <c r="M797">
        <v>-1</v>
      </c>
      <c r="N797">
        <v>-1</v>
      </c>
      <c r="O797">
        <v>-1</v>
      </c>
    </row>
    <row r="798" spans="1:15" x14ac:dyDescent="0.3">
      <c r="A798" s="1">
        <v>42434</v>
      </c>
      <c r="B798">
        <v>152124</v>
      </c>
      <c r="C798">
        <v>153378</v>
      </c>
      <c r="D798">
        <v>3889</v>
      </c>
      <c r="E798">
        <v>2016</v>
      </c>
      <c r="F798">
        <v>3</v>
      </c>
      <c r="G798" t="s">
        <v>25</v>
      </c>
      <c r="H798">
        <v>1</v>
      </c>
      <c r="I798">
        <v>5</v>
      </c>
      <c r="J798" t="s">
        <v>22</v>
      </c>
      <c r="K798">
        <v>39</v>
      </c>
      <c r="L798">
        <v>-1253</v>
      </c>
      <c r="M798">
        <v>0</v>
      </c>
      <c r="N798">
        <v>-1</v>
      </c>
      <c r="O798">
        <v>-1</v>
      </c>
    </row>
    <row r="799" spans="1:15" x14ac:dyDescent="0.3">
      <c r="A799" s="1">
        <v>42435</v>
      </c>
      <c r="B799">
        <v>74133</v>
      </c>
      <c r="C799">
        <v>74332</v>
      </c>
      <c r="D799">
        <v>1882</v>
      </c>
      <c r="E799">
        <v>2016</v>
      </c>
      <c r="F799">
        <v>3</v>
      </c>
      <c r="G799" t="s">
        <v>25</v>
      </c>
      <c r="H799">
        <v>1</v>
      </c>
      <c r="I799">
        <v>6</v>
      </c>
      <c r="J799" t="s">
        <v>23</v>
      </c>
      <c r="K799">
        <v>39</v>
      </c>
      <c r="L799">
        <v>-199</v>
      </c>
      <c r="M799">
        <v>0</v>
      </c>
      <c r="N799">
        <v>0</v>
      </c>
      <c r="O799">
        <v>0</v>
      </c>
    </row>
    <row r="800" spans="1:15" x14ac:dyDescent="0.3">
      <c r="A800" s="1">
        <v>42436</v>
      </c>
      <c r="B800">
        <v>91143</v>
      </c>
      <c r="C800">
        <v>95168</v>
      </c>
      <c r="D800">
        <v>2405</v>
      </c>
      <c r="E800">
        <v>2016</v>
      </c>
      <c r="F800">
        <v>3</v>
      </c>
      <c r="G800" t="s">
        <v>25</v>
      </c>
      <c r="H800">
        <v>1</v>
      </c>
      <c r="I800">
        <v>7</v>
      </c>
      <c r="J800" t="s">
        <v>16</v>
      </c>
      <c r="K800">
        <v>38</v>
      </c>
      <c r="L800">
        <v>-4025</v>
      </c>
      <c r="M800">
        <v>-2</v>
      </c>
      <c r="N800">
        <v>-4</v>
      </c>
      <c r="O800">
        <v>-4</v>
      </c>
    </row>
    <row r="801" spans="1:15" x14ac:dyDescent="0.3">
      <c r="A801" s="1">
        <v>42437</v>
      </c>
      <c r="B801">
        <v>60528</v>
      </c>
      <c r="C801">
        <v>62343</v>
      </c>
      <c r="D801">
        <v>1577</v>
      </c>
      <c r="E801">
        <v>2016</v>
      </c>
      <c r="F801">
        <v>3</v>
      </c>
      <c r="G801" t="s">
        <v>25</v>
      </c>
      <c r="H801">
        <v>1</v>
      </c>
      <c r="I801">
        <v>8</v>
      </c>
      <c r="J801" t="s">
        <v>17</v>
      </c>
      <c r="K801">
        <v>38</v>
      </c>
      <c r="L801">
        <v>-1815</v>
      </c>
      <c r="M801">
        <v>-1</v>
      </c>
      <c r="N801">
        <v>-3</v>
      </c>
      <c r="O801">
        <v>-3</v>
      </c>
    </row>
    <row r="802" spans="1:15" x14ac:dyDescent="0.3">
      <c r="A802" s="1">
        <v>42438</v>
      </c>
      <c r="B802">
        <v>38341</v>
      </c>
      <c r="C802">
        <v>35918</v>
      </c>
      <c r="D802">
        <v>913</v>
      </c>
      <c r="E802">
        <v>2016</v>
      </c>
      <c r="F802">
        <v>3</v>
      </c>
      <c r="G802" t="s">
        <v>25</v>
      </c>
      <c r="H802">
        <v>1</v>
      </c>
      <c r="I802">
        <v>9</v>
      </c>
      <c r="J802" t="s">
        <v>19</v>
      </c>
      <c r="K802">
        <v>42</v>
      </c>
      <c r="L802">
        <v>2422</v>
      </c>
      <c r="M802">
        <v>3</v>
      </c>
      <c r="N802">
        <v>6</v>
      </c>
      <c r="O802">
        <v>6</v>
      </c>
    </row>
    <row r="803" spans="1:15" x14ac:dyDescent="0.3">
      <c r="A803" s="1">
        <v>42439</v>
      </c>
      <c r="B803">
        <v>37453</v>
      </c>
      <c r="C803">
        <v>35108</v>
      </c>
      <c r="D803">
        <v>892</v>
      </c>
      <c r="E803">
        <v>2016</v>
      </c>
      <c r="F803">
        <v>3</v>
      </c>
      <c r="G803" t="s">
        <v>25</v>
      </c>
      <c r="H803">
        <v>1</v>
      </c>
      <c r="I803">
        <v>10</v>
      </c>
      <c r="J803" t="s">
        <v>20</v>
      </c>
      <c r="K803">
        <v>42</v>
      </c>
      <c r="L803">
        <v>2345</v>
      </c>
      <c r="M803">
        <v>3</v>
      </c>
      <c r="N803">
        <v>6</v>
      </c>
      <c r="O803">
        <v>6</v>
      </c>
    </row>
    <row r="804" spans="1:15" x14ac:dyDescent="0.3">
      <c r="A804" s="1">
        <v>42440</v>
      </c>
      <c r="B804">
        <v>77997</v>
      </c>
      <c r="C804">
        <v>73052</v>
      </c>
      <c r="D804">
        <v>1855</v>
      </c>
      <c r="E804">
        <v>2016</v>
      </c>
      <c r="F804">
        <v>3</v>
      </c>
      <c r="G804" t="s">
        <v>25</v>
      </c>
      <c r="H804">
        <v>1</v>
      </c>
      <c r="I804">
        <v>11</v>
      </c>
      <c r="J804" t="s">
        <v>21</v>
      </c>
      <c r="K804">
        <v>42</v>
      </c>
      <c r="L804">
        <v>4945</v>
      </c>
      <c r="M804">
        <v>3</v>
      </c>
      <c r="N804">
        <v>6</v>
      </c>
      <c r="O804">
        <v>6</v>
      </c>
    </row>
    <row r="805" spans="1:15" x14ac:dyDescent="0.3">
      <c r="A805" s="1">
        <v>42441</v>
      </c>
      <c r="B805">
        <v>79752</v>
      </c>
      <c r="C805">
        <v>74963</v>
      </c>
      <c r="D805">
        <v>1897</v>
      </c>
      <c r="E805">
        <v>2016</v>
      </c>
      <c r="F805">
        <v>3</v>
      </c>
      <c r="G805" t="s">
        <v>25</v>
      </c>
      <c r="H805">
        <v>1</v>
      </c>
      <c r="I805">
        <v>12</v>
      </c>
      <c r="J805" t="s">
        <v>22</v>
      </c>
      <c r="K805">
        <v>42</v>
      </c>
      <c r="L805">
        <v>4789</v>
      </c>
      <c r="M805">
        <v>3</v>
      </c>
      <c r="N805">
        <v>6</v>
      </c>
      <c r="O805">
        <v>6</v>
      </c>
    </row>
    <row r="806" spans="1:15" x14ac:dyDescent="0.3">
      <c r="A806" s="1">
        <v>42442</v>
      </c>
      <c r="B806">
        <v>37156</v>
      </c>
      <c r="C806">
        <v>34963</v>
      </c>
      <c r="D806">
        <v>883</v>
      </c>
      <c r="E806">
        <v>2016</v>
      </c>
      <c r="F806">
        <v>3</v>
      </c>
      <c r="G806" t="s">
        <v>25</v>
      </c>
      <c r="H806">
        <v>1</v>
      </c>
      <c r="I806">
        <v>13</v>
      </c>
      <c r="J806" t="s">
        <v>23</v>
      </c>
      <c r="K806">
        <v>42</v>
      </c>
      <c r="L806">
        <v>2193</v>
      </c>
      <c r="M806">
        <v>2</v>
      </c>
      <c r="N806">
        <v>6</v>
      </c>
      <c r="O806">
        <v>6</v>
      </c>
    </row>
    <row r="807" spans="1:15" x14ac:dyDescent="0.3">
      <c r="A807" s="1">
        <v>42443</v>
      </c>
      <c r="B807">
        <v>45047</v>
      </c>
      <c r="C807">
        <v>42368</v>
      </c>
      <c r="D807">
        <v>1071</v>
      </c>
      <c r="E807">
        <v>2016</v>
      </c>
      <c r="F807">
        <v>3</v>
      </c>
      <c r="G807" t="s">
        <v>25</v>
      </c>
      <c r="H807">
        <v>1</v>
      </c>
      <c r="I807">
        <v>14</v>
      </c>
      <c r="J807" t="s">
        <v>16</v>
      </c>
      <c r="K807">
        <v>42</v>
      </c>
      <c r="L807">
        <v>2678</v>
      </c>
      <c r="M807">
        <v>3</v>
      </c>
      <c r="N807">
        <v>6</v>
      </c>
      <c r="O807">
        <v>6</v>
      </c>
    </row>
    <row r="808" spans="1:15" x14ac:dyDescent="0.3">
      <c r="A808" s="1">
        <v>42444</v>
      </c>
      <c r="B808">
        <v>55489</v>
      </c>
      <c r="C808">
        <v>52263</v>
      </c>
      <c r="D808">
        <v>1320</v>
      </c>
      <c r="E808">
        <v>2016</v>
      </c>
      <c r="F808">
        <v>3</v>
      </c>
      <c r="G808" t="s">
        <v>25</v>
      </c>
      <c r="H808">
        <v>1</v>
      </c>
      <c r="I808">
        <v>15</v>
      </c>
      <c r="J808" t="s">
        <v>17</v>
      </c>
      <c r="K808">
        <v>42</v>
      </c>
      <c r="L808">
        <v>3226</v>
      </c>
      <c r="M808">
        <v>2</v>
      </c>
      <c r="N808">
        <v>6</v>
      </c>
      <c r="O808">
        <v>6</v>
      </c>
    </row>
    <row r="809" spans="1:15" x14ac:dyDescent="0.3">
      <c r="A809" s="1">
        <v>42445</v>
      </c>
      <c r="B809">
        <v>41893</v>
      </c>
      <c r="C809">
        <v>39495</v>
      </c>
      <c r="D809">
        <v>997</v>
      </c>
      <c r="E809">
        <v>2016</v>
      </c>
      <c r="F809">
        <v>3</v>
      </c>
      <c r="G809" t="s">
        <v>25</v>
      </c>
      <c r="H809">
        <v>1</v>
      </c>
      <c r="I809">
        <v>16</v>
      </c>
      <c r="J809" t="s">
        <v>19</v>
      </c>
      <c r="K809">
        <v>42</v>
      </c>
      <c r="L809">
        <v>2398</v>
      </c>
      <c r="M809">
        <v>2</v>
      </c>
      <c r="N809">
        <v>6</v>
      </c>
      <c r="O809">
        <v>6</v>
      </c>
    </row>
    <row r="810" spans="1:15" x14ac:dyDescent="0.3">
      <c r="A810" s="1">
        <v>42446</v>
      </c>
      <c r="B810">
        <v>34349</v>
      </c>
      <c r="C810">
        <v>32293</v>
      </c>
      <c r="D810">
        <v>817</v>
      </c>
      <c r="E810">
        <v>2016</v>
      </c>
      <c r="F810">
        <v>3</v>
      </c>
      <c r="G810" t="s">
        <v>25</v>
      </c>
      <c r="H810">
        <v>1</v>
      </c>
      <c r="I810">
        <v>17</v>
      </c>
      <c r="J810" t="s">
        <v>20</v>
      </c>
      <c r="K810">
        <v>42</v>
      </c>
      <c r="L810">
        <v>2056</v>
      </c>
      <c r="M810">
        <v>3</v>
      </c>
      <c r="N810">
        <v>6</v>
      </c>
      <c r="O810">
        <v>6</v>
      </c>
    </row>
    <row r="811" spans="1:15" x14ac:dyDescent="0.3">
      <c r="A811" s="1">
        <v>42447</v>
      </c>
      <c r="B811">
        <v>78277</v>
      </c>
      <c r="C811">
        <v>73747</v>
      </c>
      <c r="D811">
        <v>1866</v>
      </c>
      <c r="E811">
        <v>2016</v>
      </c>
      <c r="F811">
        <v>3</v>
      </c>
      <c r="G811" t="s">
        <v>25</v>
      </c>
      <c r="H811">
        <v>1</v>
      </c>
      <c r="I811">
        <v>18</v>
      </c>
      <c r="J811" t="s">
        <v>21</v>
      </c>
      <c r="K811">
        <v>42</v>
      </c>
      <c r="L811">
        <v>4530</v>
      </c>
      <c r="M811">
        <v>2</v>
      </c>
      <c r="N811">
        <v>6</v>
      </c>
      <c r="O811">
        <v>6</v>
      </c>
    </row>
    <row r="812" spans="1:15" x14ac:dyDescent="0.3">
      <c r="A812" s="1">
        <v>42448</v>
      </c>
      <c r="B812">
        <v>92851</v>
      </c>
      <c r="C812">
        <v>87452</v>
      </c>
      <c r="D812">
        <v>2211</v>
      </c>
      <c r="E812">
        <v>2016</v>
      </c>
      <c r="F812">
        <v>3</v>
      </c>
      <c r="G812" t="s">
        <v>25</v>
      </c>
      <c r="H812">
        <v>1</v>
      </c>
      <c r="I812">
        <v>19</v>
      </c>
      <c r="J812" t="s">
        <v>22</v>
      </c>
      <c r="K812">
        <v>42</v>
      </c>
      <c r="L812">
        <v>5400</v>
      </c>
      <c r="M812">
        <v>2</v>
      </c>
      <c r="N812">
        <v>6</v>
      </c>
      <c r="O812">
        <v>6</v>
      </c>
    </row>
    <row r="813" spans="1:15" x14ac:dyDescent="0.3">
      <c r="A813" s="1">
        <v>42449</v>
      </c>
      <c r="B813">
        <v>54846</v>
      </c>
      <c r="C813">
        <v>51626</v>
      </c>
      <c r="D813">
        <v>1304</v>
      </c>
      <c r="E813">
        <v>2016</v>
      </c>
      <c r="F813">
        <v>3</v>
      </c>
      <c r="G813" t="s">
        <v>25</v>
      </c>
      <c r="H813">
        <v>1</v>
      </c>
      <c r="I813">
        <v>20</v>
      </c>
      <c r="J813" t="s">
        <v>23</v>
      </c>
      <c r="K813">
        <v>42</v>
      </c>
      <c r="L813">
        <v>3220</v>
      </c>
      <c r="M813">
        <v>2</v>
      </c>
      <c r="N813">
        <v>6</v>
      </c>
      <c r="O813">
        <v>6</v>
      </c>
    </row>
    <row r="814" spans="1:15" x14ac:dyDescent="0.3">
      <c r="A814" s="1">
        <v>42450</v>
      </c>
      <c r="B814">
        <v>48038</v>
      </c>
      <c r="C814">
        <v>45188</v>
      </c>
      <c r="D814">
        <v>1143</v>
      </c>
      <c r="E814">
        <v>2016</v>
      </c>
      <c r="F814">
        <v>3</v>
      </c>
      <c r="G814" t="s">
        <v>25</v>
      </c>
      <c r="H814">
        <v>1</v>
      </c>
      <c r="I814">
        <v>21</v>
      </c>
      <c r="J814" t="s">
        <v>16</v>
      </c>
      <c r="K814">
        <v>42</v>
      </c>
      <c r="L814">
        <v>2850</v>
      </c>
      <c r="M814">
        <v>2</v>
      </c>
      <c r="N814">
        <v>6</v>
      </c>
      <c r="O814">
        <v>6</v>
      </c>
    </row>
    <row r="815" spans="1:15" x14ac:dyDescent="0.3">
      <c r="A815" s="1">
        <v>42451</v>
      </c>
      <c r="B815">
        <v>65906</v>
      </c>
      <c r="C815">
        <v>62024</v>
      </c>
      <c r="D815">
        <v>1573</v>
      </c>
      <c r="E815">
        <v>2016</v>
      </c>
      <c r="F815">
        <v>3</v>
      </c>
      <c r="G815" t="s">
        <v>25</v>
      </c>
      <c r="H815">
        <v>1</v>
      </c>
      <c r="I815">
        <v>22</v>
      </c>
      <c r="J815" t="s">
        <v>17</v>
      </c>
      <c r="K815">
        <v>42</v>
      </c>
      <c r="L815">
        <v>3882</v>
      </c>
      <c r="M815">
        <v>2</v>
      </c>
      <c r="N815">
        <v>6</v>
      </c>
      <c r="O815">
        <v>6</v>
      </c>
    </row>
    <row r="816" spans="1:15" x14ac:dyDescent="0.3">
      <c r="A816" s="1">
        <v>42452</v>
      </c>
      <c r="B816">
        <v>84870</v>
      </c>
      <c r="C816">
        <v>81473</v>
      </c>
      <c r="D816">
        <v>2065</v>
      </c>
      <c r="E816">
        <v>2016</v>
      </c>
      <c r="F816">
        <v>3</v>
      </c>
      <c r="G816" t="s">
        <v>25</v>
      </c>
      <c r="H816">
        <v>1</v>
      </c>
      <c r="I816">
        <v>23</v>
      </c>
      <c r="J816" t="s">
        <v>19</v>
      </c>
      <c r="K816">
        <v>41</v>
      </c>
      <c r="L816">
        <v>3397</v>
      </c>
      <c r="M816">
        <v>2</v>
      </c>
      <c r="N816">
        <v>4</v>
      </c>
      <c r="O816">
        <v>4</v>
      </c>
    </row>
    <row r="817" spans="1:15" x14ac:dyDescent="0.3">
      <c r="A817" s="1">
        <v>42453</v>
      </c>
      <c r="B817">
        <v>262460</v>
      </c>
      <c r="C817">
        <v>259298</v>
      </c>
      <c r="D817">
        <v>6588</v>
      </c>
      <c r="E817">
        <v>2016</v>
      </c>
      <c r="F817">
        <v>3</v>
      </c>
      <c r="G817" t="s">
        <v>25</v>
      </c>
      <c r="H817">
        <v>1</v>
      </c>
      <c r="I817">
        <v>24</v>
      </c>
      <c r="J817" t="s">
        <v>20</v>
      </c>
      <c r="K817">
        <v>40</v>
      </c>
      <c r="L817">
        <v>3161</v>
      </c>
      <c r="M817">
        <v>0</v>
      </c>
      <c r="N817">
        <v>1</v>
      </c>
      <c r="O817">
        <v>1</v>
      </c>
    </row>
    <row r="818" spans="1:15" x14ac:dyDescent="0.3">
      <c r="A818" s="1">
        <v>42454</v>
      </c>
      <c r="B818">
        <v>228124</v>
      </c>
      <c r="C818">
        <v>222208</v>
      </c>
      <c r="D818">
        <v>5652</v>
      </c>
      <c r="E818">
        <v>2016</v>
      </c>
      <c r="F818">
        <v>3</v>
      </c>
      <c r="G818" t="s">
        <v>25</v>
      </c>
      <c r="H818">
        <v>1</v>
      </c>
      <c r="I818">
        <v>25</v>
      </c>
      <c r="J818" t="s">
        <v>21</v>
      </c>
      <c r="K818">
        <v>40</v>
      </c>
      <c r="L818">
        <v>5916</v>
      </c>
      <c r="M818">
        <v>1</v>
      </c>
      <c r="N818">
        <v>3</v>
      </c>
      <c r="O818">
        <v>3</v>
      </c>
    </row>
    <row r="819" spans="1:15" x14ac:dyDescent="0.3">
      <c r="A819" s="1">
        <v>42455</v>
      </c>
      <c r="B819">
        <v>162929</v>
      </c>
      <c r="C819">
        <v>161435</v>
      </c>
      <c r="D819">
        <v>4103</v>
      </c>
      <c r="E819">
        <v>2016</v>
      </c>
      <c r="F819">
        <v>3</v>
      </c>
      <c r="G819" t="s">
        <v>25</v>
      </c>
      <c r="H819">
        <v>1</v>
      </c>
      <c r="I819">
        <v>26</v>
      </c>
      <c r="J819" t="s">
        <v>22</v>
      </c>
      <c r="K819">
        <v>40</v>
      </c>
      <c r="L819">
        <v>1495</v>
      </c>
      <c r="M819">
        <v>0</v>
      </c>
      <c r="N819">
        <v>1</v>
      </c>
      <c r="O819">
        <v>1</v>
      </c>
    </row>
    <row r="820" spans="1:15" x14ac:dyDescent="0.3">
      <c r="A820" s="1">
        <v>42456</v>
      </c>
      <c r="B820">
        <v>58360</v>
      </c>
      <c r="C820">
        <v>57682</v>
      </c>
      <c r="D820">
        <v>1466</v>
      </c>
      <c r="E820">
        <v>2016</v>
      </c>
      <c r="F820">
        <v>3</v>
      </c>
      <c r="G820" t="s">
        <v>25</v>
      </c>
      <c r="H820">
        <v>1</v>
      </c>
      <c r="I820">
        <v>27</v>
      </c>
      <c r="J820" t="s">
        <v>23</v>
      </c>
      <c r="K820">
        <v>40</v>
      </c>
      <c r="L820">
        <v>678</v>
      </c>
      <c r="M820">
        <v>0</v>
      </c>
      <c r="N820">
        <v>1</v>
      </c>
      <c r="O820">
        <v>1</v>
      </c>
    </row>
    <row r="821" spans="1:15" x14ac:dyDescent="0.3">
      <c r="A821" s="1">
        <v>42457</v>
      </c>
      <c r="B821">
        <v>85605</v>
      </c>
      <c r="C821">
        <v>85022</v>
      </c>
      <c r="D821">
        <v>2162</v>
      </c>
      <c r="E821">
        <v>2016</v>
      </c>
      <c r="F821">
        <v>3</v>
      </c>
      <c r="G821" t="s">
        <v>25</v>
      </c>
      <c r="H821">
        <v>1</v>
      </c>
      <c r="I821">
        <v>28</v>
      </c>
      <c r="J821" t="s">
        <v>16</v>
      </c>
      <c r="K821">
        <v>40</v>
      </c>
      <c r="L821">
        <v>583</v>
      </c>
      <c r="M821">
        <v>0</v>
      </c>
      <c r="N821">
        <v>1</v>
      </c>
      <c r="O821">
        <v>1</v>
      </c>
    </row>
    <row r="822" spans="1:15" x14ac:dyDescent="0.3">
      <c r="A822" s="1">
        <v>42458</v>
      </c>
      <c r="B822">
        <v>84836</v>
      </c>
      <c r="C822">
        <v>84595</v>
      </c>
      <c r="D822">
        <v>2155</v>
      </c>
      <c r="E822">
        <v>2016</v>
      </c>
      <c r="F822">
        <v>3</v>
      </c>
      <c r="G822" t="s">
        <v>25</v>
      </c>
      <c r="H822">
        <v>1</v>
      </c>
      <c r="I822">
        <v>29</v>
      </c>
      <c r="J822" t="s">
        <v>17</v>
      </c>
      <c r="K822">
        <v>39</v>
      </c>
      <c r="L822">
        <v>241</v>
      </c>
      <c r="M822">
        <v>0</v>
      </c>
      <c r="N822">
        <v>0</v>
      </c>
      <c r="O822">
        <v>0</v>
      </c>
    </row>
    <row r="823" spans="1:15" x14ac:dyDescent="0.3">
      <c r="A823" s="1">
        <v>42459</v>
      </c>
      <c r="B823">
        <v>64309</v>
      </c>
      <c r="C823">
        <v>68428</v>
      </c>
      <c r="D823">
        <v>1746</v>
      </c>
      <c r="E823">
        <v>2016</v>
      </c>
      <c r="F823">
        <v>3</v>
      </c>
      <c r="G823" t="s">
        <v>25</v>
      </c>
      <c r="H823">
        <v>1</v>
      </c>
      <c r="I823">
        <v>30</v>
      </c>
      <c r="J823" t="s">
        <v>19</v>
      </c>
      <c r="K823">
        <v>37</v>
      </c>
      <c r="L823">
        <v>-4119</v>
      </c>
      <c r="M823">
        <v>-2</v>
      </c>
      <c r="N823">
        <v>-6</v>
      </c>
      <c r="O823">
        <v>-6</v>
      </c>
    </row>
    <row r="824" spans="1:15" x14ac:dyDescent="0.3">
      <c r="A824" s="1">
        <v>42460</v>
      </c>
      <c r="B824">
        <v>131168</v>
      </c>
      <c r="C824">
        <v>138589</v>
      </c>
      <c r="D824">
        <v>3554</v>
      </c>
      <c r="E824">
        <v>2016</v>
      </c>
      <c r="F824">
        <v>3</v>
      </c>
      <c r="G824" t="s">
        <v>25</v>
      </c>
      <c r="H824">
        <v>1</v>
      </c>
      <c r="I824">
        <v>31</v>
      </c>
      <c r="J824" t="s">
        <v>20</v>
      </c>
      <c r="K824">
        <v>37</v>
      </c>
      <c r="L824">
        <v>-7421</v>
      </c>
      <c r="M824">
        <v>-2</v>
      </c>
      <c r="N824">
        <v>-6</v>
      </c>
      <c r="O824">
        <v>-6</v>
      </c>
    </row>
    <row r="825" spans="1:15" x14ac:dyDescent="0.3">
      <c r="A825" s="1">
        <v>42461</v>
      </c>
      <c r="B825">
        <v>232410</v>
      </c>
      <c r="C825">
        <v>245359</v>
      </c>
      <c r="D825">
        <v>6282</v>
      </c>
      <c r="E825">
        <v>2016</v>
      </c>
      <c r="F825">
        <v>4</v>
      </c>
      <c r="G825" t="s">
        <v>26</v>
      </c>
      <c r="H825">
        <v>2</v>
      </c>
      <c r="I825">
        <v>1</v>
      </c>
      <c r="J825" t="s">
        <v>21</v>
      </c>
      <c r="K825">
        <v>37</v>
      </c>
      <c r="L825">
        <v>-12948</v>
      </c>
      <c r="M825">
        <v>-2</v>
      </c>
      <c r="N825">
        <v>-6</v>
      </c>
      <c r="O825">
        <v>-6</v>
      </c>
    </row>
    <row r="826" spans="1:15" x14ac:dyDescent="0.3">
      <c r="A826" s="1">
        <v>42462</v>
      </c>
      <c r="B826">
        <v>195831</v>
      </c>
      <c r="C826">
        <v>205443</v>
      </c>
      <c r="D826">
        <v>5259</v>
      </c>
      <c r="E826">
        <v>2016</v>
      </c>
      <c r="F826">
        <v>4</v>
      </c>
      <c r="G826" t="s">
        <v>26</v>
      </c>
      <c r="H826">
        <v>2</v>
      </c>
      <c r="I826">
        <v>2</v>
      </c>
      <c r="J826" t="s">
        <v>22</v>
      </c>
      <c r="K826">
        <v>37</v>
      </c>
      <c r="L826">
        <v>-9612</v>
      </c>
      <c r="M826">
        <v>-2</v>
      </c>
      <c r="N826">
        <v>-5</v>
      </c>
      <c r="O826">
        <v>-5</v>
      </c>
    </row>
    <row r="827" spans="1:15" x14ac:dyDescent="0.3">
      <c r="A827" s="1">
        <v>42463</v>
      </c>
      <c r="B827">
        <v>90717</v>
      </c>
      <c r="C827">
        <v>95543</v>
      </c>
      <c r="D827">
        <v>2446</v>
      </c>
      <c r="E827">
        <v>2016</v>
      </c>
      <c r="F827">
        <v>4</v>
      </c>
      <c r="G827" t="s">
        <v>26</v>
      </c>
      <c r="H827">
        <v>2</v>
      </c>
      <c r="I827">
        <v>3</v>
      </c>
      <c r="J827" t="s">
        <v>23</v>
      </c>
      <c r="K827">
        <v>37</v>
      </c>
      <c r="L827">
        <v>-4827</v>
      </c>
      <c r="M827">
        <v>-2</v>
      </c>
      <c r="N827">
        <v>-5</v>
      </c>
      <c r="O827">
        <v>-5</v>
      </c>
    </row>
    <row r="828" spans="1:15" x14ac:dyDescent="0.3">
      <c r="A828" s="1">
        <v>42464</v>
      </c>
      <c r="B828">
        <v>131638</v>
      </c>
      <c r="C828">
        <v>130700</v>
      </c>
      <c r="D828">
        <v>3345</v>
      </c>
      <c r="E828">
        <v>2016</v>
      </c>
      <c r="F828">
        <v>4</v>
      </c>
      <c r="G828" t="s">
        <v>26</v>
      </c>
      <c r="H828">
        <v>2</v>
      </c>
      <c r="I828">
        <v>4</v>
      </c>
      <c r="J828" t="s">
        <v>16</v>
      </c>
      <c r="K828">
        <v>39</v>
      </c>
      <c r="L828">
        <v>938</v>
      </c>
      <c r="M828">
        <v>0</v>
      </c>
      <c r="N828">
        <v>1</v>
      </c>
      <c r="O828">
        <v>1</v>
      </c>
    </row>
    <row r="829" spans="1:15" x14ac:dyDescent="0.3">
      <c r="A829" s="1">
        <v>42465</v>
      </c>
      <c r="B829">
        <v>81911</v>
      </c>
      <c r="C829">
        <v>79970</v>
      </c>
      <c r="D829">
        <v>2048</v>
      </c>
      <c r="E829">
        <v>2016</v>
      </c>
      <c r="F829">
        <v>4</v>
      </c>
      <c r="G829" t="s">
        <v>26</v>
      </c>
      <c r="H829">
        <v>2</v>
      </c>
      <c r="I829">
        <v>5</v>
      </c>
      <c r="J829" t="s">
        <v>17</v>
      </c>
      <c r="K829">
        <v>40</v>
      </c>
      <c r="L829">
        <v>1941</v>
      </c>
      <c r="M829">
        <v>1</v>
      </c>
      <c r="N829">
        <v>2</v>
      </c>
      <c r="O829">
        <v>2</v>
      </c>
    </row>
    <row r="830" spans="1:15" x14ac:dyDescent="0.3">
      <c r="A830" s="1">
        <v>42466</v>
      </c>
      <c r="B830">
        <v>54822</v>
      </c>
      <c r="C830">
        <v>50800</v>
      </c>
      <c r="D830">
        <v>1303</v>
      </c>
      <c r="E830">
        <v>2016</v>
      </c>
      <c r="F830">
        <v>4</v>
      </c>
      <c r="G830" t="s">
        <v>26</v>
      </c>
      <c r="H830">
        <v>2</v>
      </c>
      <c r="I830">
        <v>6</v>
      </c>
      <c r="J830" t="s">
        <v>19</v>
      </c>
      <c r="K830">
        <v>42</v>
      </c>
      <c r="L830">
        <v>4022</v>
      </c>
      <c r="M830">
        <v>3</v>
      </c>
      <c r="N830">
        <v>7</v>
      </c>
      <c r="O830">
        <v>7</v>
      </c>
    </row>
    <row r="831" spans="1:15" x14ac:dyDescent="0.3">
      <c r="A831" s="1">
        <v>42467</v>
      </c>
      <c r="B831">
        <v>155615</v>
      </c>
      <c r="C831">
        <v>171592</v>
      </c>
      <c r="D831">
        <v>4413</v>
      </c>
      <c r="E831">
        <v>2016</v>
      </c>
      <c r="F831">
        <v>4</v>
      </c>
      <c r="G831" t="s">
        <v>26</v>
      </c>
      <c r="H831">
        <v>2</v>
      </c>
      <c r="I831">
        <v>7</v>
      </c>
      <c r="J831" t="s">
        <v>20</v>
      </c>
      <c r="K831">
        <v>35</v>
      </c>
      <c r="L831">
        <v>-15977</v>
      </c>
      <c r="M831">
        <v>-4</v>
      </c>
      <c r="N831">
        <v>-10</v>
      </c>
      <c r="O831">
        <v>-10</v>
      </c>
    </row>
    <row r="832" spans="1:15" x14ac:dyDescent="0.3">
      <c r="A832" s="1">
        <v>42468</v>
      </c>
      <c r="B832">
        <v>264087</v>
      </c>
      <c r="C832">
        <v>291379</v>
      </c>
      <c r="D832">
        <v>7494</v>
      </c>
      <c r="E832">
        <v>2016</v>
      </c>
      <c r="F832">
        <v>4</v>
      </c>
      <c r="G832" t="s">
        <v>26</v>
      </c>
      <c r="H832">
        <v>2</v>
      </c>
      <c r="I832">
        <v>8</v>
      </c>
      <c r="J832" t="s">
        <v>21</v>
      </c>
      <c r="K832">
        <v>35</v>
      </c>
      <c r="L832">
        <v>-27292</v>
      </c>
      <c r="M832">
        <v>-4</v>
      </c>
      <c r="N832">
        <v>-10</v>
      </c>
      <c r="O832">
        <v>-10</v>
      </c>
    </row>
    <row r="833" spans="1:15" x14ac:dyDescent="0.3">
      <c r="A833" s="1">
        <v>42469</v>
      </c>
      <c r="B833">
        <v>272761</v>
      </c>
      <c r="C833">
        <v>298164</v>
      </c>
      <c r="D833">
        <v>7738</v>
      </c>
      <c r="E833">
        <v>2016</v>
      </c>
      <c r="F833">
        <v>4</v>
      </c>
      <c r="G833" t="s">
        <v>26</v>
      </c>
      <c r="H833">
        <v>2</v>
      </c>
      <c r="I833">
        <v>9</v>
      </c>
      <c r="J833" t="s">
        <v>22</v>
      </c>
      <c r="K833">
        <v>35</v>
      </c>
      <c r="L833">
        <v>-25403</v>
      </c>
      <c r="M833">
        <v>-3</v>
      </c>
      <c r="N833">
        <v>-9</v>
      </c>
      <c r="O833">
        <v>-9</v>
      </c>
    </row>
    <row r="834" spans="1:15" x14ac:dyDescent="0.3">
      <c r="A834" s="1">
        <v>42470</v>
      </c>
      <c r="B834">
        <v>104689</v>
      </c>
      <c r="C834">
        <v>113609</v>
      </c>
      <c r="D834">
        <v>2958</v>
      </c>
      <c r="E834">
        <v>2016</v>
      </c>
      <c r="F834">
        <v>4</v>
      </c>
      <c r="G834" t="s">
        <v>26</v>
      </c>
      <c r="H834">
        <v>2</v>
      </c>
      <c r="I834">
        <v>10</v>
      </c>
      <c r="J834" t="s">
        <v>23</v>
      </c>
      <c r="K834">
        <v>35</v>
      </c>
      <c r="L834">
        <v>-8920</v>
      </c>
      <c r="M834">
        <v>-3</v>
      </c>
      <c r="N834">
        <v>-9</v>
      </c>
      <c r="O834">
        <v>-9</v>
      </c>
    </row>
    <row r="835" spans="1:15" x14ac:dyDescent="0.3">
      <c r="A835" s="1">
        <v>42471</v>
      </c>
      <c r="B835">
        <v>131171</v>
      </c>
      <c r="C835">
        <v>142023</v>
      </c>
      <c r="D835">
        <v>3713</v>
      </c>
      <c r="E835">
        <v>2016</v>
      </c>
      <c r="F835">
        <v>4</v>
      </c>
      <c r="G835" t="s">
        <v>26</v>
      </c>
      <c r="H835">
        <v>2</v>
      </c>
      <c r="I835">
        <v>11</v>
      </c>
      <c r="J835" t="s">
        <v>16</v>
      </c>
      <c r="K835">
        <v>35</v>
      </c>
      <c r="L835">
        <v>-10852</v>
      </c>
      <c r="M835">
        <v>-3</v>
      </c>
      <c r="N835">
        <v>-8</v>
      </c>
      <c r="O835">
        <v>-8</v>
      </c>
    </row>
    <row r="836" spans="1:15" x14ac:dyDescent="0.3">
      <c r="A836" s="1">
        <v>42472</v>
      </c>
      <c r="B836">
        <v>123179</v>
      </c>
      <c r="C836">
        <v>132715</v>
      </c>
      <c r="D836">
        <v>3504</v>
      </c>
      <c r="E836">
        <v>2016</v>
      </c>
      <c r="F836">
        <v>4</v>
      </c>
      <c r="G836" t="s">
        <v>26</v>
      </c>
      <c r="H836">
        <v>2</v>
      </c>
      <c r="I836">
        <v>12</v>
      </c>
      <c r="J836" t="s">
        <v>17</v>
      </c>
      <c r="K836">
        <v>35</v>
      </c>
      <c r="L836">
        <v>-9535</v>
      </c>
      <c r="M836">
        <v>-3</v>
      </c>
      <c r="N836">
        <v>-8</v>
      </c>
      <c r="O836">
        <v>-8</v>
      </c>
    </row>
    <row r="837" spans="1:15" x14ac:dyDescent="0.3">
      <c r="A837" s="1">
        <v>42473</v>
      </c>
      <c r="B837">
        <v>124431</v>
      </c>
      <c r="C837">
        <v>132889</v>
      </c>
      <c r="D837">
        <v>3534</v>
      </c>
      <c r="E837">
        <v>2016</v>
      </c>
      <c r="F837">
        <v>4</v>
      </c>
      <c r="G837" t="s">
        <v>26</v>
      </c>
      <c r="H837">
        <v>2</v>
      </c>
      <c r="I837">
        <v>13</v>
      </c>
      <c r="J837" t="s">
        <v>19</v>
      </c>
      <c r="K837">
        <v>35</v>
      </c>
      <c r="L837">
        <v>-8458</v>
      </c>
      <c r="M837">
        <v>-2</v>
      </c>
      <c r="N837">
        <v>-7</v>
      </c>
      <c r="O837">
        <v>-7</v>
      </c>
    </row>
    <row r="838" spans="1:15" x14ac:dyDescent="0.3">
      <c r="A838" s="1">
        <v>42474</v>
      </c>
      <c r="B838">
        <v>162167</v>
      </c>
      <c r="C838">
        <v>172226</v>
      </c>
      <c r="D838">
        <v>4601</v>
      </c>
      <c r="E838">
        <v>2016</v>
      </c>
      <c r="F838">
        <v>4</v>
      </c>
      <c r="G838" t="s">
        <v>26</v>
      </c>
      <c r="H838">
        <v>2</v>
      </c>
      <c r="I838">
        <v>14</v>
      </c>
      <c r="J838" t="s">
        <v>20</v>
      </c>
      <c r="K838">
        <v>35</v>
      </c>
      <c r="L838">
        <v>-10059</v>
      </c>
      <c r="M838">
        <v>-2</v>
      </c>
      <c r="N838">
        <v>-6</v>
      </c>
      <c r="O838">
        <v>-6</v>
      </c>
    </row>
    <row r="839" spans="1:15" x14ac:dyDescent="0.3">
      <c r="A839" s="1">
        <v>42475</v>
      </c>
      <c r="B839">
        <v>354042</v>
      </c>
      <c r="C839">
        <v>373200</v>
      </c>
      <c r="D839">
        <v>10045</v>
      </c>
      <c r="E839">
        <v>2016</v>
      </c>
      <c r="F839">
        <v>4</v>
      </c>
      <c r="G839" t="s">
        <v>26</v>
      </c>
      <c r="H839">
        <v>2</v>
      </c>
      <c r="I839">
        <v>15</v>
      </c>
      <c r="J839" t="s">
        <v>21</v>
      </c>
      <c r="K839">
        <v>35</v>
      </c>
      <c r="L839">
        <v>-19158</v>
      </c>
      <c r="M839">
        <v>-2</v>
      </c>
      <c r="N839">
        <v>-5</v>
      </c>
      <c r="O839">
        <v>-5</v>
      </c>
    </row>
    <row r="840" spans="1:15" x14ac:dyDescent="0.3">
      <c r="A840" s="1">
        <v>42476</v>
      </c>
      <c r="B840">
        <v>327352</v>
      </c>
      <c r="C840">
        <v>345339</v>
      </c>
      <c r="D840">
        <v>9301</v>
      </c>
      <c r="E840">
        <v>2016</v>
      </c>
      <c r="F840">
        <v>4</v>
      </c>
      <c r="G840" t="s">
        <v>26</v>
      </c>
      <c r="H840">
        <v>2</v>
      </c>
      <c r="I840">
        <v>16</v>
      </c>
      <c r="J840" t="s">
        <v>22</v>
      </c>
      <c r="K840">
        <v>35</v>
      </c>
      <c r="L840">
        <v>-17986</v>
      </c>
      <c r="M840">
        <v>-2</v>
      </c>
      <c r="N840">
        <v>-5</v>
      </c>
      <c r="O840">
        <v>-5</v>
      </c>
    </row>
    <row r="841" spans="1:15" x14ac:dyDescent="0.3">
      <c r="A841" s="1">
        <v>42477</v>
      </c>
      <c r="B841">
        <v>164809</v>
      </c>
      <c r="C841">
        <v>175167</v>
      </c>
      <c r="D841">
        <v>4678</v>
      </c>
      <c r="E841">
        <v>2016</v>
      </c>
      <c r="F841">
        <v>4</v>
      </c>
      <c r="G841" t="s">
        <v>26</v>
      </c>
      <c r="H841">
        <v>2</v>
      </c>
      <c r="I841">
        <v>17</v>
      </c>
      <c r="J841" t="s">
        <v>23</v>
      </c>
      <c r="K841">
        <v>35</v>
      </c>
      <c r="L841">
        <v>-10358</v>
      </c>
      <c r="M841">
        <v>-2</v>
      </c>
      <c r="N841">
        <v>-6</v>
      </c>
      <c r="O841">
        <v>-6</v>
      </c>
    </row>
    <row r="842" spans="1:15" x14ac:dyDescent="0.3">
      <c r="A842" s="1">
        <v>42478</v>
      </c>
      <c r="B842">
        <v>151158</v>
      </c>
      <c r="C842">
        <v>159829</v>
      </c>
      <c r="D842">
        <v>4294</v>
      </c>
      <c r="E842">
        <v>2016</v>
      </c>
      <c r="F842">
        <v>4</v>
      </c>
      <c r="G842" t="s">
        <v>26</v>
      </c>
      <c r="H842">
        <v>2</v>
      </c>
      <c r="I842">
        <v>18</v>
      </c>
      <c r="J842" t="s">
        <v>16</v>
      </c>
      <c r="K842">
        <v>35</v>
      </c>
      <c r="L842">
        <v>-8671</v>
      </c>
      <c r="M842">
        <v>-2</v>
      </c>
      <c r="N842">
        <v>-6</v>
      </c>
      <c r="O842">
        <v>-6</v>
      </c>
    </row>
    <row r="843" spans="1:15" x14ac:dyDescent="0.3">
      <c r="A843" s="1">
        <v>42479</v>
      </c>
      <c r="B843">
        <v>126896</v>
      </c>
      <c r="C843">
        <v>133726</v>
      </c>
      <c r="D843">
        <v>3606</v>
      </c>
      <c r="E843">
        <v>2016</v>
      </c>
      <c r="F843">
        <v>4</v>
      </c>
      <c r="G843" t="s">
        <v>26</v>
      </c>
      <c r="H843">
        <v>2</v>
      </c>
      <c r="I843">
        <v>19</v>
      </c>
      <c r="J843" t="s">
        <v>17</v>
      </c>
      <c r="K843">
        <v>35</v>
      </c>
      <c r="L843">
        <v>-6830</v>
      </c>
      <c r="M843">
        <v>-2</v>
      </c>
      <c r="N843">
        <v>-5</v>
      </c>
      <c r="O843">
        <v>-5</v>
      </c>
    </row>
    <row r="844" spans="1:15" x14ac:dyDescent="0.3">
      <c r="A844" s="1">
        <v>42480</v>
      </c>
      <c r="B844">
        <v>166395</v>
      </c>
      <c r="C844">
        <v>179021</v>
      </c>
      <c r="D844">
        <v>4838</v>
      </c>
      <c r="E844">
        <v>2016</v>
      </c>
      <c r="F844">
        <v>4</v>
      </c>
      <c r="G844" t="s">
        <v>26</v>
      </c>
      <c r="H844">
        <v>2</v>
      </c>
      <c r="I844">
        <v>20</v>
      </c>
      <c r="J844" t="s">
        <v>19</v>
      </c>
      <c r="K844">
        <v>34</v>
      </c>
      <c r="L844">
        <v>-12625</v>
      </c>
      <c r="M844">
        <v>-3</v>
      </c>
      <c r="N844">
        <v>-8</v>
      </c>
      <c r="O844">
        <v>-8</v>
      </c>
    </row>
    <row r="845" spans="1:15" x14ac:dyDescent="0.3">
      <c r="A845" s="1">
        <v>42481</v>
      </c>
      <c r="B845">
        <v>167796</v>
      </c>
      <c r="C845">
        <v>182485</v>
      </c>
      <c r="D845">
        <v>4914</v>
      </c>
      <c r="E845">
        <v>2016</v>
      </c>
      <c r="F845">
        <v>4</v>
      </c>
      <c r="G845" t="s">
        <v>26</v>
      </c>
      <c r="H845">
        <v>2</v>
      </c>
      <c r="I845">
        <v>21</v>
      </c>
      <c r="J845" t="s">
        <v>20</v>
      </c>
      <c r="K845">
        <v>34</v>
      </c>
      <c r="L845">
        <v>-14689</v>
      </c>
      <c r="M845">
        <v>-3</v>
      </c>
      <c r="N845">
        <v>-9</v>
      </c>
      <c r="O845">
        <v>-9</v>
      </c>
    </row>
    <row r="846" spans="1:15" x14ac:dyDescent="0.3">
      <c r="A846" s="1">
        <v>42482</v>
      </c>
      <c r="B846">
        <v>351146</v>
      </c>
      <c r="C846">
        <v>380098</v>
      </c>
      <c r="D846">
        <v>10269</v>
      </c>
      <c r="E846">
        <v>2016</v>
      </c>
      <c r="F846">
        <v>4</v>
      </c>
      <c r="G846" t="s">
        <v>26</v>
      </c>
      <c r="H846">
        <v>2</v>
      </c>
      <c r="I846">
        <v>22</v>
      </c>
      <c r="J846" t="s">
        <v>21</v>
      </c>
      <c r="K846">
        <v>34</v>
      </c>
      <c r="L846">
        <v>-28952</v>
      </c>
      <c r="M846">
        <v>-3</v>
      </c>
      <c r="N846">
        <v>-8</v>
      </c>
      <c r="O846">
        <v>-8</v>
      </c>
    </row>
    <row r="847" spans="1:15" x14ac:dyDescent="0.3">
      <c r="A847" s="1">
        <v>42483</v>
      </c>
      <c r="B847">
        <v>420739</v>
      </c>
      <c r="C847">
        <v>455415</v>
      </c>
      <c r="D847">
        <v>12317</v>
      </c>
      <c r="E847">
        <v>2016</v>
      </c>
      <c r="F847">
        <v>4</v>
      </c>
      <c r="G847" t="s">
        <v>26</v>
      </c>
      <c r="H847">
        <v>2</v>
      </c>
      <c r="I847">
        <v>23</v>
      </c>
      <c r="J847" t="s">
        <v>22</v>
      </c>
      <c r="K847">
        <v>34</v>
      </c>
      <c r="L847">
        <v>-34677</v>
      </c>
      <c r="M847">
        <v>-3</v>
      </c>
      <c r="N847">
        <v>-8</v>
      </c>
      <c r="O847">
        <v>-8</v>
      </c>
    </row>
    <row r="848" spans="1:15" x14ac:dyDescent="0.3">
      <c r="A848" s="1">
        <v>42484</v>
      </c>
      <c r="B848">
        <v>186166</v>
      </c>
      <c r="C848">
        <v>202391</v>
      </c>
      <c r="D848">
        <v>5453</v>
      </c>
      <c r="E848">
        <v>2016</v>
      </c>
      <c r="F848">
        <v>4</v>
      </c>
      <c r="G848" t="s">
        <v>26</v>
      </c>
      <c r="H848">
        <v>2</v>
      </c>
      <c r="I848">
        <v>24</v>
      </c>
      <c r="J848" t="s">
        <v>23</v>
      </c>
      <c r="K848">
        <v>34</v>
      </c>
      <c r="L848">
        <v>-16225</v>
      </c>
      <c r="M848">
        <v>-3</v>
      </c>
      <c r="N848">
        <v>-9</v>
      </c>
      <c r="O848">
        <v>-9</v>
      </c>
    </row>
    <row r="849" spans="1:15" x14ac:dyDescent="0.3">
      <c r="A849" s="1">
        <v>42485</v>
      </c>
      <c r="B849">
        <v>251450</v>
      </c>
      <c r="C849">
        <v>273255</v>
      </c>
      <c r="D849">
        <v>7372</v>
      </c>
      <c r="E849">
        <v>2016</v>
      </c>
      <c r="F849">
        <v>4</v>
      </c>
      <c r="G849" t="s">
        <v>26</v>
      </c>
      <c r="H849">
        <v>2</v>
      </c>
      <c r="I849">
        <v>25</v>
      </c>
      <c r="J849" t="s">
        <v>16</v>
      </c>
      <c r="K849">
        <v>34</v>
      </c>
      <c r="L849">
        <v>-21806</v>
      </c>
      <c r="M849">
        <v>-3</v>
      </c>
      <c r="N849">
        <v>-9</v>
      </c>
      <c r="O849">
        <v>-9</v>
      </c>
    </row>
    <row r="850" spans="1:15" x14ac:dyDescent="0.3">
      <c r="A850" s="1">
        <v>42486</v>
      </c>
      <c r="B850">
        <v>280322</v>
      </c>
      <c r="C850">
        <v>302470</v>
      </c>
      <c r="D850">
        <v>8211</v>
      </c>
      <c r="E850">
        <v>2016</v>
      </c>
      <c r="F850">
        <v>4</v>
      </c>
      <c r="G850" t="s">
        <v>26</v>
      </c>
      <c r="H850">
        <v>2</v>
      </c>
      <c r="I850">
        <v>26</v>
      </c>
      <c r="J850" t="s">
        <v>17</v>
      </c>
      <c r="K850">
        <v>34</v>
      </c>
      <c r="L850">
        <v>-22148</v>
      </c>
      <c r="M850">
        <v>-3</v>
      </c>
      <c r="N850">
        <v>-8</v>
      </c>
      <c r="O850">
        <v>-8</v>
      </c>
    </row>
    <row r="851" spans="1:15" x14ac:dyDescent="0.3">
      <c r="A851" s="1">
        <v>42487</v>
      </c>
      <c r="B851">
        <v>313435</v>
      </c>
      <c r="C851">
        <v>337931</v>
      </c>
      <c r="D851">
        <v>9182</v>
      </c>
      <c r="E851">
        <v>2016</v>
      </c>
      <c r="F851">
        <v>4</v>
      </c>
      <c r="G851" t="s">
        <v>26</v>
      </c>
      <c r="H851">
        <v>2</v>
      </c>
      <c r="I851">
        <v>27</v>
      </c>
      <c r="J851" t="s">
        <v>19</v>
      </c>
      <c r="K851">
        <v>34</v>
      </c>
      <c r="L851">
        <v>-24496</v>
      </c>
      <c r="M851">
        <v>-3</v>
      </c>
      <c r="N851">
        <v>-8</v>
      </c>
      <c r="O851">
        <v>-8</v>
      </c>
    </row>
    <row r="852" spans="1:15" x14ac:dyDescent="0.3">
      <c r="A852" s="1">
        <v>42488</v>
      </c>
      <c r="B852">
        <v>257325</v>
      </c>
      <c r="C852">
        <v>276852</v>
      </c>
      <c r="D852">
        <v>7520</v>
      </c>
      <c r="E852">
        <v>2016</v>
      </c>
      <c r="F852">
        <v>4</v>
      </c>
      <c r="G852" t="s">
        <v>26</v>
      </c>
      <c r="H852">
        <v>2</v>
      </c>
      <c r="I852">
        <v>28</v>
      </c>
      <c r="J852" t="s">
        <v>20</v>
      </c>
      <c r="K852">
        <v>34</v>
      </c>
      <c r="L852">
        <v>-19528</v>
      </c>
      <c r="M852">
        <v>-3</v>
      </c>
      <c r="N852">
        <v>-8</v>
      </c>
      <c r="O852">
        <v>-8</v>
      </c>
    </row>
    <row r="853" spans="1:15" x14ac:dyDescent="0.3">
      <c r="A853" s="1">
        <v>42489</v>
      </c>
      <c r="B853">
        <v>455554</v>
      </c>
      <c r="C853">
        <v>489215</v>
      </c>
      <c r="D853">
        <v>13321</v>
      </c>
      <c r="E853">
        <v>2016</v>
      </c>
      <c r="F853">
        <v>4</v>
      </c>
      <c r="G853" t="s">
        <v>26</v>
      </c>
      <c r="H853">
        <v>2</v>
      </c>
      <c r="I853">
        <v>29</v>
      </c>
      <c r="J853" t="s">
        <v>21</v>
      </c>
      <c r="K853">
        <v>34</v>
      </c>
      <c r="L853">
        <v>-33661</v>
      </c>
      <c r="M853">
        <v>-3</v>
      </c>
      <c r="N853">
        <v>-7</v>
      </c>
      <c r="O853">
        <v>-7</v>
      </c>
    </row>
    <row r="854" spans="1:15" x14ac:dyDescent="0.3">
      <c r="A854" s="1">
        <v>42490</v>
      </c>
      <c r="B854">
        <v>556865</v>
      </c>
      <c r="C854">
        <v>598926</v>
      </c>
      <c r="D854">
        <v>16276</v>
      </c>
      <c r="E854">
        <v>2016</v>
      </c>
      <c r="F854">
        <v>4</v>
      </c>
      <c r="G854" t="s">
        <v>26</v>
      </c>
      <c r="H854">
        <v>2</v>
      </c>
      <c r="I854">
        <v>30</v>
      </c>
      <c r="J854" t="s">
        <v>22</v>
      </c>
      <c r="K854">
        <v>34</v>
      </c>
      <c r="L854">
        <v>-42060</v>
      </c>
      <c r="M854">
        <v>-3</v>
      </c>
      <c r="N854">
        <v>-8</v>
      </c>
      <c r="O854">
        <v>-8</v>
      </c>
    </row>
    <row r="855" spans="1:15" x14ac:dyDescent="0.3">
      <c r="A855" s="1">
        <v>42491</v>
      </c>
      <c r="B855">
        <v>354856</v>
      </c>
      <c r="C855">
        <v>380511</v>
      </c>
      <c r="D855">
        <v>10388</v>
      </c>
      <c r="E855">
        <v>2016</v>
      </c>
      <c r="F855">
        <v>5</v>
      </c>
      <c r="G855" t="s">
        <v>27</v>
      </c>
      <c r="H855">
        <v>2</v>
      </c>
      <c r="I855">
        <v>1</v>
      </c>
      <c r="J855" t="s">
        <v>23</v>
      </c>
      <c r="K855">
        <v>34</v>
      </c>
      <c r="L855">
        <v>-25655</v>
      </c>
      <c r="M855">
        <v>-2</v>
      </c>
      <c r="N855">
        <v>-7</v>
      </c>
      <c r="O855">
        <v>-7</v>
      </c>
    </row>
    <row r="856" spans="1:15" x14ac:dyDescent="0.3">
      <c r="A856" s="1">
        <v>42492</v>
      </c>
      <c r="B856">
        <v>283285</v>
      </c>
      <c r="C856">
        <v>304998</v>
      </c>
      <c r="D856">
        <v>8298</v>
      </c>
      <c r="E856">
        <v>2016</v>
      </c>
      <c r="F856">
        <v>5</v>
      </c>
      <c r="G856" t="s">
        <v>27</v>
      </c>
      <c r="H856">
        <v>2</v>
      </c>
      <c r="I856">
        <v>2</v>
      </c>
      <c r="J856" t="s">
        <v>16</v>
      </c>
      <c r="K856">
        <v>34</v>
      </c>
      <c r="L856">
        <v>-21713</v>
      </c>
      <c r="M856">
        <v>-3</v>
      </c>
      <c r="N856">
        <v>-8</v>
      </c>
      <c r="O856">
        <v>-8</v>
      </c>
    </row>
    <row r="857" spans="1:15" x14ac:dyDescent="0.3">
      <c r="A857" s="1">
        <v>42493</v>
      </c>
      <c r="B857">
        <v>297501</v>
      </c>
      <c r="C857">
        <v>319786</v>
      </c>
      <c r="D857">
        <v>8717</v>
      </c>
      <c r="E857">
        <v>2016</v>
      </c>
      <c r="F857">
        <v>5</v>
      </c>
      <c r="G857" t="s">
        <v>27</v>
      </c>
      <c r="H857">
        <v>2</v>
      </c>
      <c r="I857">
        <v>3</v>
      </c>
      <c r="J857" t="s">
        <v>17</v>
      </c>
      <c r="K857">
        <v>34</v>
      </c>
      <c r="L857">
        <v>-22286</v>
      </c>
      <c r="M857">
        <v>-3</v>
      </c>
      <c r="N857">
        <v>-7</v>
      </c>
      <c r="O857">
        <v>-7</v>
      </c>
    </row>
    <row r="858" spans="1:15" x14ac:dyDescent="0.3">
      <c r="A858" s="1">
        <v>42494</v>
      </c>
      <c r="B858">
        <v>285968</v>
      </c>
      <c r="C858">
        <v>305507</v>
      </c>
      <c r="D858">
        <v>8364</v>
      </c>
      <c r="E858">
        <v>2016</v>
      </c>
      <c r="F858">
        <v>5</v>
      </c>
      <c r="G858" t="s">
        <v>27</v>
      </c>
      <c r="H858">
        <v>2</v>
      </c>
      <c r="I858">
        <v>4</v>
      </c>
      <c r="J858" t="s">
        <v>19</v>
      </c>
      <c r="K858">
        <v>34</v>
      </c>
      <c r="L858">
        <v>-19539</v>
      </c>
      <c r="M858">
        <v>-2</v>
      </c>
      <c r="N858">
        <v>-7</v>
      </c>
      <c r="O858">
        <v>-7</v>
      </c>
    </row>
    <row r="859" spans="1:15" x14ac:dyDescent="0.3">
      <c r="A859" s="1">
        <v>42495</v>
      </c>
      <c r="B859">
        <v>237947</v>
      </c>
      <c r="C859">
        <v>254527</v>
      </c>
      <c r="D859">
        <v>6968</v>
      </c>
      <c r="E859">
        <v>2016</v>
      </c>
      <c r="F859">
        <v>5</v>
      </c>
      <c r="G859" t="s">
        <v>27</v>
      </c>
      <c r="H859">
        <v>2</v>
      </c>
      <c r="I859">
        <v>5</v>
      </c>
      <c r="J859" t="s">
        <v>20</v>
      </c>
      <c r="K859">
        <v>34</v>
      </c>
      <c r="L859">
        <v>-16581</v>
      </c>
      <c r="M859">
        <v>-2</v>
      </c>
      <c r="N859">
        <v>-7</v>
      </c>
      <c r="O859">
        <v>-7</v>
      </c>
    </row>
    <row r="860" spans="1:15" x14ac:dyDescent="0.3">
      <c r="A860" s="1">
        <v>42496</v>
      </c>
      <c r="B860">
        <v>340852</v>
      </c>
      <c r="C860">
        <v>364361</v>
      </c>
      <c r="D860">
        <v>9973</v>
      </c>
      <c r="E860">
        <v>2016</v>
      </c>
      <c r="F860">
        <v>5</v>
      </c>
      <c r="G860" t="s">
        <v>27</v>
      </c>
      <c r="H860">
        <v>2</v>
      </c>
      <c r="I860">
        <v>6</v>
      </c>
      <c r="J860" t="s">
        <v>21</v>
      </c>
      <c r="K860">
        <v>34</v>
      </c>
      <c r="L860">
        <v>-23510</v>
      </c>
      <c r="M860">
        <v>-2</v>
      </c>
      <c r="N860">
        <v>-7</v>
      </c>
      <c r="O860">
        <v>-7</v>
      </c>
    </row>
    <row r="861" spans="1:15" x14ac:dyDescent="0.3">
      <c r="A861" s="1">
        <v>42497</v>
      </c>
      <c r="B861">
        <v>388188</v>
      </c>
      <c r="C861">
        <v>414645</v>
      </c>
      <c r="D861">
        <v>11363</v>
      </c>
      <c r="E861">
        <v>2016</v>
      </c>
      <c r="F861">
        <v>5</v>
      </c>
      <c r="G861" t="s">
        <v>27</v>
      </c>
      <c r="H861">
        <v>2</v>
      </c>
      <c r="I861">
        <v>7</v>
      </c>
      <c r="J861" t="s">
        <v>22</v>
      </c>
      <c r="K861">
        <v>34</v>
      </c>
      <c r="L861">
        <v>-26457</v>
      </c>
      <c r="M861">
        <v>-2</v>
      </c>
      <c r="N861">
        <v>-7</v>
      </c>
      <c r="O861">
        <v>-7</v>
      </c>
    </row>
    <row r="862" spans="1:15" x14ac:dyDescent="0.3">
      <c r="A862" s="1">
        <v>42498</v>
      </c>
      <c r="B862">
        <v>139179</v>
      </c>
      <c r="C862">
        <v>148731</v>
      </c>
      <c r="D862">
        <v>4074</v>
      </c>
      <c r="E862">
        <v>2016</v>
      </c>
      <c r="F862">
        <v>5</v>
      </c>
      <c r="G862" t="s">
        <v>27</v>
      </c>
      <c r="H862">
        <v>2</v>
      </c>
      <c r="I862">
        <v>8</v>
      </c>
      <c r="J862" t="s">
        <v>23</v>
      </c>
      <c r="K862">
        <v>34</v>
      </c>
      <c r="L862">
        <v>-9552</v>
      </c>
      <c r="M862">
        <v>-2</v>
      </c>
      <c r="N862">
        <v>-7</v>
      </c>
      <c r="O862">
        <v>-7</v>
      </c>
    </row>
    <row r="863" spans="1:15" x14ac:dyDescent="0.3">
      <c r="A863" s="1">
        <v>42499</v>
      </c>
      <c r="B863">
        <v>66400</v>
      </c>
      <c r="C863">
        <v>57742</v>
      </c>
      <c r="D863">
        <v>1579</v>
      </c>
      <c r="E863">
        <v>2016</v>
      </c>
      <c r="F863">
        <v>5</v>
      </c>
      <c r="G863" t="s">
        <v>27</v>
      </c>
      <c r="H863">
        <v>2</v>
      </c>
      <c r="I863">
        <v>9</v>
      </c>
      <c r="J863" t="s">
        <v>16</v>
      </c>
      <c r="K863">
        <v>42</v>
      </c>
      <c r="L863">
        <v>8659</v>
      </c>
      <c r="M863">
        <v>5</v>
      </c>
      <c r="N863">
        <v>13</v>
      </c>
      <c r="O863">
        <v>13</v>
      </c>
    </row>
    <row r="864" spans="1:15" x14ac:dyDescent="0.3">
      <c r="A864" s="1">
        <v>42500</v>
      </c>
      <c r="B864">
        <v>42724</v>
      </c>
      <c r="C864">
        <v>37113</v>
      </c>
      <c r="D864">
        <v>1016</v>
      </c>
      <c r="E864">
        <v>2016</v>
      </c>
      <c r="F864">
        <v>5</v>
      </c>
      <c r="G864" t="s">
        <v>27</v>
      </c>
      <c r="H864">
        <v>2</v>
      </c>
      <c r="I864">
        <v>10</v>
      </c>
      <c r="J864" t="s">
        <v>17</v>
      </c>
      <c r="K864">
        <v>42</v>
      </c>
      <c r="L864">
        <v>5611</v>
      </c>
      <c r="M864">
        <v>6</v>
      </c>
      <c r="N864">
        <v>13</v>
      </c>
      <c r="O864">
        <v>13</v>
      </c>
    </row>
    <row r="865" spans="1:15" x14ac:dyDescent="0.3">
      <c r="A865" s="1">
        <v>42501</v>
      </c>
      <c r="B865">
        <v>35014</v>
      </c>
      <c r="C865">
        <v>30394</v>
      </c>
      <c r="D865">
        <v>832</v>
      </c>
      <c r="E865">
        <v>2016</v>
      </c>
      <c r="F865">
        <v>5</v>
      </c>
      <c r="G865" t="s">
        <v>27</v>
      </c>
      <c r="H865">
        <v>2</v>
      </c>
      <c r="I865">
        <v>11</v>
      </c>
      <c r="J865" t="s">
        <v>19</v>
      </c>
      <c r="K865">
        <v>42</v>
      </c>
      <c r="L865">
        <v>4621</v>
      </c>
      <c r="M865">
        <v>6</v>
      </c>
      <c r="N865">
        <v>13</v>
      </c>
      <c r="O865">
        <v>13</v>
      </c>
    </row>
    <row r="866" spans="1:15" x14ac:dyDescent="0.3">
      <c r="A866" s="1">
        <v>42502</v>
      </c>
      <c r="B866">
        <v>27210</v>
      </c>
      <c r="C866">
        <v>23570</v>
      </c>
      <c r="D866">
        <v>647</v>
      </c>
      <c r="E866">
        <v>2016</v>
      </c>
      <c r="F866">
        <v>5</v>
      </c>
      <c r="G866" t="s">
        <v>27</v>
      </c>
      <c r="H866">
        <v>2</v>
      </c>
      <c r="I866">
        <v>12</v>
      </c>
      <c r="J866" t="s">
        <v>20</v>
      </c>
      <c r="K866">
        <v>42</v>
      </c>
      <c r="L866">
        <v>3640</v>
      </c>
      <c r="M866">
        <v>6</v>
      </c>
      <c r="N866">
        <v>13</v>
      </c>
      <c r="O866">
        <v>13</v>
      </c>
    </row>
    <row r="867" spans="1:15" x14ac:dyDescent="0.3">
      <c r="A867" s="1">
        <v>42503</v>
      </c>
      <c r="B867">
        <v>79840</v>
      </c>
      <c r="C867">
        <v>69079</v>
      </c>
      <c r="D867">
        <v>1898</v>
      </c>
      <c r="E867">
        <v>2016</v>
      </c>
      <c r="F867">
        <v>5</v>
      </c>
      <c r="G867" t="s">
        <v>27</v>
      </c>
      <c r="H867">
        <v>2</v>
      </c>
      <c r="I867">
        <v>13</v>
      </c>
      <c r="J867" t="s">
        <v>21</v>
      </c>
      <c r="K867">
        <v>42</v>
      </c>
      <c r="L867">
        <v>10761</v>
      </c>
      <c r="M867">
        <v>6</v>
      </c>
      <c r="N867">
        <v>13</v>
      </c>
      <c r="O867">
        <v>13</v>
      </c>
    </row>
    <row r="868" spans="1:15" x14ac:dyDescent="0.3">
      <c r="A868" s="1">
        <v>42504</v>
      </c>
      <c r="B868">
        <v>82484</v>
      </c>
      <c r="C868">
        <v>71426</v>
      </c>
      <c r="D868">
        <v>1961</v>
      </c>
      <c r="E868">
        <v>2016</v>
      </c>
      <c r="F868">
        <v>5</v>
      </c>
      <c r="G868" t="s">
        <v>27</v>
      </c>
      <c r="H868">
        <v>2</v>
      </c>
      <c r="I868">
        <v>14</v>
      </c>
      <c r="J868" t="s">
        <v>22</v>
      </c>
      <c r="K868">
        <v>42</v>
      </c>
      <c r="L868">
        <v>11058</v>
      </c>
      <c r="M868">
        <v>6</v>
      </c>
      <c r="N868">
        <v>13</v>
      </c>
      <c r="O868">
        <v>13</v>
      </c>
    </row>
    <row r="869" spans="1:15" x14ac:dyDescent="0.3">
      <c r="A869" s="1">
        <v>42505</v>
      </c>
      <c r="B869">
        <v>51497</v>
      </c>
      <c r="C869">
        <v>44612</v>
      </c>
      <c r="D869">
        <v>1224</v>
      </c>
      <c r="E869">
        <v>2016</v>
      </c>
      <c r="F869">
        <v>5</v>
      </c>
      <c r="G869" t="s">
        <v>27</v>
      </c>
      <c r="H869">
        <v>2</v>
      </c>
      <c r="I869">
        <v>15</v>
      </c>
      <c r="J869" t="s">
        <v>23</v>
      </c>
      <c r="K869">
        <v>42</v>
      </c>
      <c r="L869">
        <v>6885</v>
      </c>
      <c r="M869">
        <v>6</v>
      </c>
      <c r="N869">
        <v>13</v>
      </c>
      <c r="O869">
        <v>13</v>
      </c>
    </row>
    <row r="870" spans="1:15" x14ac:dyDescent="0.3">
      <c r="A870" s="1">
        <v>42506</v>
      </c>
      <c r="B870">
        <v>42872</v>
      </c>
      <c r="C870">
        <v>37139</v>
      </c>
      <c r="D870">
        <v>1019</v>
      </c>
      <c r="E870">
        <v>2016</v>
      </c>
      <c r="F870">
        <v>5</v>
      </c>
      <c r="G870" t="s">
        <v>27</v>
      </c>
      <c r="H870">
        <v>2</v>
      </c>
      <c r="I870">
        <v>16</v>
      </c>
      <c r="J870" t="s">
        <v>16</v>
      </c>
      <c r="K870">
        <v>42</v>
      </c>
      <c r="L870">
        <v>5733</v>
      </c>
      <c r="M870">
        <v>6</v>
      </c>
      <c r="N870">
        <v>13</v>
      </c>
      <c r="O870">
        <v>13</v>
      </c>
    </row>
    <row r="871" spans="1:15" x14ac:dyDescent="0.3">
      <c r="A871" s="1">
        <v>42507</v>
      </c>
      <c r="B871">
        <v>39105</v>
      </c>
      <c r="C871">
        <v>33890</v>
      </c>
      <c r="D871">
        <v>930</v>
      </c>
      <c r="E871">
        <v>2016</v>
      </c>
      <c r="F871">
        <v>5</v>
      </c>
      <c r="G871" t="s">
        <v>27</v>
      </c>
      <c r="H871">
        <v>2</v>
      </c>
      <c r="I871">
        <v>17</v>
      </c>
      <c r="J871" t="s">
        <v>17</v>
      </c>
      <c r="K871">
        <v>42</v>
      </c>
      <c r="L871">
        <v>5214</v>
      </c>
      <c r="M871">
        <v>6</v>
      </c>
      <c r="N871">
        <v>13</v>
      </c>
      <c r="O871">
        <v>13</v>
      </c>
    </row>
    <row r="872" spans="1:15" x14ac:dyDescent="0.3">
      <c r="A872" s="1">
        <v>42508</v>
      </c>
      <c r="B872">
        <v>34407</v>
      </c>
      <c r="C872">
        <v>29884</v>
      </c>
      <c r="D872">
        <v>818</v>
      </c>
      <c r="E872">
        <v>2016</v>
      </c>
      <c r="F872">
        <v>5</v>
      </c>
      <c r="G872" t="s">
        <v>27</v>
      </c>
      <c r="H872">
        <v>2</v>
      </c>
      <c r="I872">
        <v>18</v>
      </c>
      <c r="J872" t="s">
        <v>19</v>
      </c>
      <c r="K872">
        <v>42</v>
      </c>
      <c r="L872">
        <v>4522</v>
      </c>
      <c r="M872">
        <v>6</v>
      </c>
      <c r="N872">
        <v>13</v>
      </c>
      <c r="O872">
        <v>13</v>
      </c>
    </row>
    <row r="873" spans="1:15" x14ac:dyDescent="0.3">
      <c r="A873" s="1">
        <v>42509</v>
      </c>
      <c r="B873">
        <v>39404</v>
      </c>
      <c r="C873">
        <v>34230</v>
      </c>
      <c r="D873">
        <v>937</v>
      </c>
      <c r="E873">
        <v>2016</v>
      </c>
      <c r="F873">
        <v>5</v>
      </c>
      <c r="G873" t="s">
        <v>27</v>
      </c>
      <c r="H873">
        <v>2</v>
      </c>
      <c r="I873">
        <v>19</v>
      </c>
      <c r="J873" t="s">
        <v>20</v>
      </c>
      <c r="K873">
        <v>42</v>
      </c>
      <c r="L873">
        <v>5174</v>
      </c>
      <c r="M873">
        <v>6</v>
      </c>
      <c r="N873">
        <v>13</v>
      </c>
      <c r="O873">
        <v>13</v>
      </c>
    </row>
    <row r="874" spans="1:15" x14ac:dyDescent="0.3">
      <c r="A874" s="1">
        <v>42510</v>
      </c>
      <c r="B874">
        <v>96831</v>
      </c>
      <c r="C874">
        <v>83926</v>
      </c>
      <c r="D874">
        <v>2302</v>
      </c>
      <c r="E874">
        <v>2016</v>
      </c>
      <c r="F874">
        <v>5</v>
      </c>
      <c r="G874" t="s">
        <v>27</v>
      </c>
      <c r="H874">
        <v>2</v>
      </c>
      <c r="I874">
        <v>20</v>
      </c>
      <c r="J874" t="s">
        <v>21</v>
      </c>
      <c r="K874">
        <v>42</v>
      </c>
      <c r="L874">
        <v>12905</v>
      </c>
      <c r="M874">
        <v>6</v>
      </c>
      <c r="N874">
        <v>13</v>
      </c>
      <c r="O874">
        <v>13</v>
      </c>
    </row>
    <row r="875" spans="1:15" x14ac:dyDescent="0.3">
      <c r="A875" s="1">
        <v>42511</v>
      </c>
      <c r="B875">
        <v>99380</v>
      </c>
      <c r="C875">
        <v>86180</v>
      </c>
      <c r="D875">
        <v>2363</v>
      </c>
      <c r="E875">
        <v>2016</v>
      </c>
      <c r="F875">
        <v>5</v>
      </c>
      <c r="G875" t="s">
        <v>27</v>
      </c>
      <c r="H875">
        <v>2</v>
      </c>
      <c r="I875">
        <v>21</v>
      </c>
      <c r="J875" t="s">
        <v>22</v>
      </c>
      <c r="K875">
        <v>42</v>
      </c>
      <c r="L875">
        <v>13201</v>
      </c>
      <c r="M875">
        <v>6</v>
      </c>
      <c r="N875">
        <v>13</v>
      </c>
      <c r="O875">
        <v>13</v>
      </c>
    </row>
    <row r="876" spans="1:15" x14ac:dyDescent="0.3">
      <c r="A876" s="1">
        <v>42512</v>
      </c>
      <c r="B876">
        <v>61656</v>
      </c>
      <c r="C876">
        <v>53464</v>
      </c>
      <c r="D876">
        <v>1466</v>
      </c>
      <c r="E876">
        <v>2016</v>
      </c>
      <c r="F876">
        <v>5</v>
      </c>
      <c r="G876" t="s">
        <v>27</v>
      </c>
      <c r="H876">
        <v>2</v>
      </c>
      <c r="I876">
        <v>22</v>
      </c>
      <c r="J876" t="s">
        <v>23</v>
      </c>
      <c r="K876">
        <v>42</v>
      </c>
      <c r="L876">
        <v>8192</v>
      </c>
      <c r="M876">
        <v>6</v>
      </c>
      <c r="N876">
        <v>13</v>
      </c>
      <c r="O876">
        <v>13</v>
      </c>
    </row>
    <row r="877" spans="1:15" x14ac:dyDescent="0.3">
      <c r="A877" s="1">
        <v>42513</v>
      </c>
      <c r="B877">
        <v>69164</v>
      </c>
      <c r="C877">
        <v>59948</v>
      </c>
      <c r="D877">
        <v>1644</v>
      </c>
      <c r="E877">
        <v>2016</v>
      </c>
      <c r="F877">
        <v>5</v>
      </c>
      <c r="G877" t="s">
        <v>27</v>
      </c>
      <c r="H877">
        <v>2</v>
      </c>
      <c r="I877">
        <v>23</v>
      </c>
      <c r="J877" t="s">
        <v>16</v>
      </c>
      <c r="K877">
        <v>42</v>
      </c>
      <c r="L877">
        <v>9215</v>
      </c>
      <c r="M877">
        <v>6</v>
      </c>
      <c r="N877">
        <v>13</v>
      </c>
      <c r="O877">
        <v>13</v>
      </c>
    </row>
    <row r="878" spans="1:15" x14ac:dyDescent="0.3">
      <c r="A878" s="1">
        <v>42514</v>
      </c>
      <c r="B878">
        <v>113113</v>
      </c>
      <c r="C878">
        <v>117415</v>
      </c>
      <c r="D878">
        <v>3224</v>
      </c>
      <c r="E878">
        <v>2016</v>
      </c>
      <c r="F878">
        <v>5</v>
      </c>
      <c r="G878" t="s">
        <v>27</v>
      </c>
      <c r="H878">
        <v>2</v>
      </c>
      <c r="I878">
        <v>24</v>
      </c>
      <c r="J878" t="s">
        <v>17</v>
      </c>
      <c r="K878">
        <v>35</v>
      </c>
      <c r="L878">
        <v>-4302</v>
      </c>
      <c r="M878">
        <v>-1</v>
      </c>
      <c r="N878">
        <v>-4</v>
      </c>
      <c r="O878">
        <v>-4</v>
      </c>
    </row>
    <row r="879" spans="1:15" x14ac:dyDescent="0.3">
      <c r="A879" s="1">
        <v>42515</v>
      </c>
      <c r="B879">
        <v>253686</v>
      </c>
      <c r="C879">
        <v>268975</v>
      </c>
      <c r="D879">
        <v>7392</v>
      </c>
      <c r="E879">
        <v>2016</v>
      </c>
      <c r="F879">
        <v>5</v>
      </c>
      <c r="G879" t="s">
        <v>27</v>
      </c>
      <c r="H879">
        <v>2</v>
      </c>
      <c r="I879">
        <v>25</v>
      </c>
      <c r="J879" t="s">
        <v>19</v>
      </c>
      <c r="K879">
        <v>34</v>
      </c>
      <c r="L879">
        <v>-15288</v>
      </c>
      <c r="M879">
        <v>-2</v>
      </c>
      <c r="N879">
        <v>-6</v>
      </c>
      <c r="O879">
        <v>-6</v>
      </c>
    </row>
    <row r="880" spans="1:15" x14ac:dyDescent="0.3">
      <c r="A880" s="1">
        <v>42516</v>
      </c>
      <c r="B880">
        <v>210305</v>
      </c>
      <c r="C880">
        <v>223289</v>
      </c>
      <c r="D880">
        <v>6138</v>
      </c>
      <c r="E880">
        <v>2016</v>
      </c>
      <c r="F880">
        <v>5</v>
      </c>
      <c r="G880" t="s">
        <v>27</v>
      </c>
      <c r="H880">
        <v>2</v>
      </c>
      <c r="I880">
        <v>26</v>
      </c>
      <c r="J880" t="s">
        <v>20</v>
      </c>
      <c r="K880">
        <v>34</v>
      </c>
      <c r="L880">
        <v>-12984</v>
      </c>
      <c r="M880">
        <v>-2</v>
      </c>
      <c r="N880">
        <v>-6</v>
      </c>
      <c r="O880">
        <v>-6</v>
      </c>
    </row>
    <row r="881" spans="1:15" x14ac:dyDescent="0.3">
      <c r="A881" s="1">
        <v>42517</v>
      </c>
      <c r="B881">
        <v>364087</v>
      </c>
      <c r="C881">
        <v>386500</v>
      </c>
      <c r="D881">
        <v>10624</v>
      </c>
      <c r="E881">
        <v>2016</v>
      </c>
      <c r="F881">
        <v>5</v>
      </c>
      <c r="G881" t="s">
        <v>27</v>
      </c>
      <c r="H881">
        <v>2</v>
      </c>
      <c r="I881">
        <v>27</v>
      </c>
      <c r="J881" t="s">
        <v>21</v>
      </c>
      <c r="K881">
        <v>34</v>
      </c>
      <c r="L881">
        <v>-22412</v>
      </c>
      <c r="M881">
        <v>-2</v>
      </c>
      <c r="N881">
        <v>-6</v>
      </c>
      <c r="O881">
        <v>-6</v>
      </c>
    </row>
    <row r="882" spans="1:15" x14ac:dyDescent="0.3">
      <c r="A882" s="1">
        <v>42518</v>
      </c>
      <c r="B882">
        <v>397480</v>
      </c>
      <c r="C882">
        <v>421674</v>
      </c>
      <c r="D882">
        <v>11590</v>
      </c>
      <c r="E882">
        <v>2016</v>
      </c>
      <c r="F882">
        <v>5</v>
      </c>
      <c r="G882" t="s">
        <v>27</v>
      </c>
      <c r="H882">
        <v>2</v>
      </c>
      <c r="I882">
        <v>28</v>
      </c>
      <c r="J882" t="s">
        <v>22</v>
      </c>
      <c r="K882">
        <v>34</v>
      </c>
      <c r="L882">
        <v>-24194</v>
      </c>
      <c r="M882">
        <v>-2</v>
      </c>
      <c r="N882">
        <v>-6</v>
      </c>
      <c r="O882">
        <v>-6</v>
      </c>
    </row>
    <row r="883" spans="1:15" x14ac:dyDescent="0.3">
      <c r="A883" s="1">
        <v>42519</v>
      </c>
      <c r="B883">
        <v>204028</v>
      </c>
      <c r="C883">
        <v>216777</v>
      </c>
      <c r="D883">
        <v>5959</v>
      </c>
      <c r="E883">
        <v>2016</v>
      </c>
      <c r="F883">
        <v>5</v>
      </c>
      <c r="G883" t="s">
        <v>27</v>
      </c>
      <c r="H883">
        <v>2</v>
      </c>
      <c r="I883">
        <v>29</v>
      </c>
      <c r="J883" t="s">
        <v>23</v>
      </c>
      <c r="K883">
        <v>34</v>
      </c>
      <c r="L883">
        <v>-12749</v>
      </c>
      <c r="M883">
        <v>-2</v>
      </c>
      <c r="N883">
        <v>-6</v>
      </c>
      <c r="O883">
        <v>-6</v>
      </c>
    </row>
    <row r="884" spans="1:15" x14ac:dyDescent="0.3">
      <c r="A884" s="1">
        <v>42520</v>
      </c>
      <c r="B884">
        <v>172798</v>
      </c>
      <c r="C884">
        <v>183716</v>
      </c>
      <c r="D884">
        <v>5048</v>
      </c>
      <c r="E884">
        <v>2016</v>
      </c>
      <c r="F884">
        <v>5</v>
      </c>
      <c r="G884" t="s">
        <v>27</v>
      </c>
      <c r="H884">
        <v>2</v>
      </c>
      <c r="I884">
        <v>30</v>
      </c>
      <c r="J884" t="s">
        <v>16</v>
      </c>
      <c r="K884">
        <v>34</v>
      </c>
      <c r="L884">
        <v>-10918</v>
      </c>
      <c r="M884">
        <v>-2</v>
      </c>
      <c r="N884">
        <v>-6</v>
      </c>
      <c r="O884">
        <v>-6</v>
      </c>
    </row>
    <row r="885" spans="1:15" x14ac:dyDescent="0.3">
      <c r="A885" s="1">
        <v>42521</v>
      </c>
      <c r="B885">
        <v>258971</v>
      </c>
      <c r="C885">
        <v>274386</v>
      </c>
      <c r="D885">
        <v>7542</v>
      </c>
      <c r="E885">
        <v>2016</v>
      </c>
      <c r="F885">
        <v>5</v>
      </c>
      <c r="G885" t="s">
        <v>27</v>
      </c>
      <c r="H885">
        <v>2</v>
      </c>
      <c r="I885">
        <v>31</v>
      </c>
      <c r="J885" t="s">
        <v>17</v>
      </c>
      <c r="K885">
        <v>34</v>
      </c>
      <c r="L885">
        <v>-15415</v>
      </c>
      <c r="M885">
        <v>-2</v>
      </c>
      <c r="N885">
        <v>-6</v>
      </c>
      <c r="O885">
        <v>-6</v>
      </c>
    </row>
    <row r="886" spans="1:15" x14ac:dyDescent="0.3">
      <c r="A886" s="1">
        <v>42522</v>
      </c>
      <c r="B886">
        <v>368790</v>
      </c>
      <c r="C886">
        <v>391924</v>
      </c>
      <c r="D886">
        <v>10761</v>
      </c>
      <c r="E886">
        <v>2016</v>
      </c>
      <c r="F886">
        <v>6</v>
      </c>
      <c r="G886" t="s">
        <v>28</v>
      </c>
      <c r="H886">
        <v>2</v>
      </c>
      <c r="I886">
        <v>1</v>
      </c>
      <c r="J886" t="s">
        <v>19</v>
      </c>
      <c r="K886">
        <v>34</v>
      </c>
      <c r="L886">
        <v>-23134</v>
      </c>
      <c r="M886">
        <v>-2</v>
      </c>
      <c r="N886">
        <v>-6</v>
      </c>
      <c r="O886">
        <v>-6</v>
      </c>
    </row>
    <row r="887" spans="1:15" x14ac:dyDescent="0.3">
      <c r="A887" s="1">
        <v>42523</v>
      </c>
      <c r="B887">
        <v>278071</v>
      </c>
      <c r="C887">
        <v>295548</v>
      </c>
      <c r="D887">
        <v>8120</v>
      </c>
      <c r="E887">
        <v>2016</v>
      </c>
      <c r="F887">
        <v>6</v>
      </c>
      <c r="G887" t="s">
        <v>28</v>
      </c>
      <c r="H887">
        <v>2</v>
      </c>
      <c r="I887">
        <v>2</v>
      </c>
      <c r="J887" t="s">
        <v>20</v>
      </c>
      <c r="K887">
        <v>34</v>
      </c>
      <c r="L887">
        <v>-17477</v>
      </c>
      <c r="M887">
        <v>-2</v>
      </c>
      <c r="N887">
        <v>-6</v>
      </c>
      <c r="O887">
        <v>-6</v>
      </c>
    </row>
    <row r="888" spans="1:15" x14ac:dyDescent="0.3">
      <c r="A888" s="1">
        <v>42524</v>
      </c>
      <c r="B888">
        <v>373959</v>
      </c>
      <c r="C888">
        <v>396324</v>
      </c>
      <c r="D888">
        <v>10896</v>
      </c>
      <c r="E888">
        <v>2016</v>
      </c>
      <c r="F888">
        <v>6</v>
      </c>
      <c r="G888" t="s">
        <v>28</v>
      </c>
      <c r="H888">
        <v>2</v>
      </c>
      <c r="I888">
        <v>3</v>
      </c>
      <c r="J888" t="s">
        <v>21</v>
      </c>
      <c r="K888">
        <v>34</v>
      </c>
      <c r="L888">
        <v>-22365</v>
      </c>
      <c r="M888">
        <v>-2</v>
      </c>
      <c r="N888">
        <v>-6</v>
      </c>
      <c r="O888">
        <v>-6</v>
      </c>
    </row>
    <row r="889" spans="1:15" x14ac:dyDescent="0.3">
      <c r="A889" s="1">
        <v>42525</v>
      </c>
      <c r="B889">
        <v>402057</v>
      </c>
      <c r="C889">
        <v>426466</v>
      </c>
      <c r="D889">
        <v>11726</v>
      </c>
      <c r="E889">
        <v>2016</v>
      </c>
      <c r="F889">
        <v>6</v>
      </c>
      <c r="G889" t="s">
        <v>28</v>
      </c>
      <c r="H889">
        <v>2</v>
      </c>
      <c r="I889">
        <v>4</v>
      </c>
      <c r="J889" t="s">
        <v>22</v>
      </c>
      <c r="K889">
        <v>34</v>
      </c>
      <c r="L889">
        <v>-24409</v>
      </c>
      <c r="M889">
        <v>-2</v>
      </c>
      <c r="N889">
        <v>-6</v>
      </c>
      <c r="O889">
        <v>-6</v>
      </c>
    </row>
    <row r="890" spans="1:15" x14ac:dyDescent="0.3">
      <c r="A890" s="1">
        <v>42526</v>
      </c>
      <c r="B890">
        <v>205719</v>
      </c>
      <c r="C890">
        <v>218408</v>
      </c>
      <c r="D890">
        <v>6007</v>
      </c>
      <c r="E890">
        <v>2016</v>
      </c>
      <c r="F890">
        <v>6</v>
      </c>
      <c r="G890" t="s">
        <v>28</v>
      </c>
      <c r="H890">
        <v>2</v>
      </c>
      <c r="I890">
        <v>5</v>
      </c>
      <c r="J890" t="s">
        <v>23</v>
      </c>
      <c r="K890">
        <v>34</v>
      </c>
      <c r="L890">
        <v>-12689</v>
      </c>
      <c r="M890">
        <v>-2</v>
      </c>
      <c r="N890">
        <v>-6</v>
      </c>
      <c r="O890">
        <v>-6</v>
      </c>
    </row>
    <row r="891" spans="1:15" x14ac:dyDescent="0.3">
      <c r="A891" s="1">
        <v>42527</v>
      </c>
      <c r="B891">
        <v>177627</v>
      </c>
      <c r="C891">
        <v>188630</v>
      </c>
      <c r="D891">
        <v>5185</v>
      </c>
      <c r="E891">
        <v>2016</v>
      </c>
      <c r="F891">
        <v>6</v>
      </c>
      <c r="G891" t="s">
        <v>28</v>
      </c>
      <c r="H891">
        <v>2</v>
      </c>
      <c r="I891">
        <v>6</v>
      </c>
      <c r="J891" t="s">
        <v>16</v>
      </c>
      <c r="K891">
        <v>34</v>
      </c>
      <c r="L891">
        <v>-11003</v>
      </c>
      <c r="M891">
        <v>-2</v>
      </c>
      <c r="N891">
        <v>-6</v>
      </c>
      <c r="O891">
        <v>-6</v>
      </c>
    </row>
    <row r="892" spans="1:15" x14ac:dyDescent="0.3">
      <c r="A892" s="1">
        <v>42528</v>
      </c>
      <c r="B892">
        <v>70442</v>
      </c>
      <c r="C892">
        <v>60911</v>
      </c>
      <c r="D892">
        <v>1675</v>
      </c>
      <c r="E892">
        <v>2016</v>
      </c>
      <c r="F892">
        <v>6</v>
      </c>
      <c r="G892" t="s">
        <v>28</v>
      </c>
      <c r="H892">
        <v>2</v>
      </c>
      <c r="I892">
        <v>7</v>
      </c>
      <c r="J892" t="s">
        <v>17</v>
      </c>
      <c r="K892">
        <v>42</v>
      </c>
      <c r="L892">
        <v>9531</v>
      </c>
      <c r="M892">
        <v>6</v>
      </c>
      <c r="N892">
        <v>14</v>
      </c>
      <c r="O892">
        <v>14</v>
      </c>
    </row>
    <row r="893" spans="1:15" x14ac:dyDescent="0.3">
      <c r="A893" s="1">
        <v>42529</v>
      </c>
      <c r="B893">
        <v>162924</v>
      </c>
      <c r="C893">
        <v>173293</v>
      </c>
      <c r="D893">
        <v>4765</v>
      </c>
      <c r="E893">
        <v>2016</v>
      </c>
      <c r="F893">
        <v>6</v>
      </c>
      <c r="G893" t="s">
        <v>28</v>
      </c>
      <c r="H893">
        <v>2</v>
      </c>
      <c r="I893">
        <v>8</v>
      </c>
      <c r="J893" t="s">
        <v>19</v>
      </c>
      <c r="K893">
        <v>34</v>
      </c>
      <c r="L893">
        <v>-10369</v>
      </c>
      <c r="M893">
        <v>-2</v>
      </c>
      <c r="N893">
        <v>-6</v>
      </c>
      <c r="O893">
        <v>-6</v>
      </c>
    </row>
    <row r="894" spans="1:15" x14ac:dyDescent="0.3">
      <c r="A894" s="1">
        <v>42530</v>
      </c>
      <c r="B894">
        <v>138753</v>
      </c>
      <c r="C894">
        <v>143791</v>
      </c>
      <c r="D894">
        <v>3953</v>
      </c>
      <c r="E894">
        <v>2016</v>
      </c>
      <c r="F894">
        <v>6</v>
      </c>
      <c r="G894" t="s">
        <v>28</v>
      </c>
      <c r="H894">
        <v>2</v>
      </c>
      <c r="I894">
        <v>9</v>
      </c>
      <c r="J894" t="s">
        <v>20</v>
      </c>
      <c r="K894">
        <v>35</v>
      </c>
      <c r="L894">
        <v>-5039</v>
      </c>
      <c r="M894">
        <v>-1</v>
      </c>
      <c r="N894">
        <v>-4</v>
      </c>
      <c r="O894">
        <v>-4</v>
      </c>
    </row>
    <row r="895" spans="1:15" x14ac:dyDescent="0.3">
      <c r="A895" s="1">
        <v>42531</v>
      </c>
      <c r="B895">
        <v>252458</v>
      </c>
      <c r="C895">
        <v>261502</v>
      </c>
      <c r="D895">
        <v>7190</v>
      </c>
      <c r="E895">
        <v>2016</v>
      </c>
      <c r="F895">
        <v>6</v>
      </c>
      <c r="G895" t="s">
        <v>28</v>
      </c>
      <c r="H895">
        <v>2</v>
      </c>
      <c r="I895">
        <v>10</v>
      </c>
      <c r="J895" t="s">
        <v>21</v>
      </c>
      <c r="K895">
        <v>35</v>
      </c>
      <c r="L895">
        <v>-9044</v>
      </c>
      <c r="M895">
        <v>-1</v>
      </c>
      <c r="N895">
        <v>-4</v>
      </c>
      <c r="O895">
        <v>-4</v>
      </c>
    </row>
    <row r="896" spans="1:15" x14ac:dyDescent="0.3">
      <c r="A896" s="1">
        <v>42532</v>
      </c>
      <c r="B896">
        <v>293918</v>
      </c>
      <c r="C896">
        <v>311854</v>
      </c>
      <c r="D896">
        <v>8577</v>
      </c>
      <c r="E896">
        <v>2016</v>
      </c>
      <c r="F896">
        <v>6</v>
      </c>
      <c r="G896" t="s">
        <v>28</v>
      </c>
      <c r="H896">
        <v>2</v>
      </c>
      <c r="I896">
        <v>11</v>
      </c>
      <c r="J896" t="s">
        <v>22</v>
      </c>
      <c r="K896">
        <v>34</v>
      </c>
      <c r="L896">
        <v>-17936</v>
      </c>
      <c r="M896">
        <v>-2</v>
      </c>
      <c r="N896">
        <v>-6</v>
      </c>
      <c r="O896">
        <v>-6</v>
      </c>
    </row>
    <row r="897" spans="1:15" x14ac:dyDescent="0.3">
      <c r="A897" s="1">
        <v>42533</v>
      </c>
      <c r="B897">
        <v>138350</v>
      </c>
      <c r="C897">
        <v>143347</v>
      </c>
      <c r="D897">
        <v>3943</v>
      </c>
      <c r="E897">
        <v>2016</v>
      </c>
      <c r="F897">
        <v>6</v>
      </c>
      <c r="G897" t="s">
        <v>28</v>
      </c>
      <c r="H897">
        <v>2</v>
      </c>
      <c r="I897">
        <v>12</v>
      </c>
      <c r="J897" t="s">
        <v>23</v>
      </c>
      <c r="K897">
        <v>35</v>
      </c>
      <c r="L897">
        <v>-4997</v>
      </c>
      <c r="M897">
        <v>-1</v>
      </c>
      <c r="N897">
        <v>-4</v>
      </c>
      <c r="O897">
        <v>-4</v>
      </c>
    </row>
    <row r="898" spans="1:15" x14ac:dyDescent="0.3">
      <c r="A898" s="1">
        <v>42534</v>
      </c>
      <c r="B898">
        <v>130067</v>
      </c>
      <c r="C898">
        <v>134951</v>
      </c>
      <c r="D898">
        <v>3707</v>
      </c>
      <c r="E898">
        <v>2016</v>
      </c>
      <c r="F898">
        <v>6</v>
      </c>
      <c r="G898" t="s">
        <v>28</v>
      </c>
      <c r="H898">
        <v>2</v>
      </c>
      <c r="I898">
        <v>13</v>
      </c>
      <c r="J898" t="s">
        <v>16</v>
      </c>
      <c r="K898">
        <v>35</v>
      </c>
      <c r="L898">
        <v>-4883</v>
      </c>
      <c r="M898">
        <v>-1</v>
      </c>
      <c r="N898">
        <v>-4</v>
      </c>
      <c r="O898">
        <v>-4</v>
      </c>
    </row>
    <row r="899" spans="1:15" x14ac:dyDescent="0.3">
      <c r="A899" s="1">
        <v>42535</v>
      </c>
      <c r="B899">
        <v>107169</v>
      </c>
      <c r="C899">
        <v>111173</v>
      </c>
      <c r="D899">
        <v>3054</v>
      </c>
      <c r="E899">
        <v>2016</v>
      </c>
      <c r="F899">
        <v>6</v>
      </c>
      <c r="G899" t="s">
        <v>28</v>
      </c>
      <c r="H899">
        <v>2</v>
      </c>
      <c r="I899">
        <v>14</v>
      </c>
      <c r="J899" t="s">
        <v>17</v>
      </c>
      <c r="K899">
        <v>35</v>
      </c>
      <c r="L899">
        <v>-4004</v>
      </c>
      <c r="M899">
        <v>-1</v>
      </c>
      <c r="N899">
        <v>-4</v>
      </c>
      <c r="O899">
        <v>-4</v>
      </c>
    </row>
    <row r="900" spans="1:15" x14ac:dyDescent="0.3">
      <c r="A900" s="1">
        <v>42536</v>
      </c>
      <c r="B900">
        <v>224031</v>
      </c>
      <c r="C900">
        <v>237935</v>
      </c>
      <c r="D900">
        <v>6541</v>
      </c>
      <c r="E900">
        <v>2016</v>
      </c>
      <c r="F900">
        <v>6</v>
      </c>
      <c r="G900" t="s">
        <v>28</v>
      </c>
      <c r="H900">
        <v>2</v>
      </c>
      <c r="I900">
        <v>15</v>
      </c>
      <c r="J900" t="s">
        <v>19</v>
      </c>
      <c r="K900">
        <v>34</v>
      </c>
      <c r="L900">
        <v>-13904</v>
      </c>
      <c r="M900">
        <v>-2</v>
      </c>
      <c r="N900">
        <v>-6</v>
      </c>
      <c r="O900">
        <v>-6</v>
      </c>
    </row>
    <row r="901" spans="1:15" x14ac:dyDescent="0.3">
      <c r="A901" s="1">
        <v>42537</v>
      </c>
      <c r="B901">
        <v>201918</v>
      </c>
      <c r="C901">
        <v>209096</v>
      </c>
      <c r="D901">
        <v>5749</v>
      </c>
      <c r="E901">
        <v>2016</v>
      </c>
      <c r="F901">
        <v>6</v>
      </c>
      <c r="G901" t="s">
        <v>28</v>
      </c>
      <c r="H901">
        <v>2</v>
      </c>
      <c r="I901">
        <v>16</v>
      </c>
      <c r="J901" t="s">
        <v>20</v>
      </c>
      <c r="K901">
        <v>35</v>
      </c>
      <c r="L901">
        <v>-7177</v>
      </c>
      <c r="M901">
        <v>-1</v>
      </c>
      <c r="N901">
        <v>-4</v>
      </c>
      <c r="O901">
        <v>-4</v>
      </c>
    </row>
    <row r="902" spans="1:15" x14ac:dyDescent="0.3">
      <c r="A902" s="1">
        <v>42538</v>
      </c>
      <c r="B902">
        <v>329344</v>
      </c>
      <c r="C902">
        <v>341253</v>
      </c>
      <c r="D902">
        <v>9385</v>
      </c>
      <c r="E902">
        <v>2016</v>
      </c>
      <c r="F902">
        <v>6</v>
      </c>
      <c r="G902" t="s">
        <v>28</v>
      </c>
      <c r="H902">
        <v>2</v>
      </c>
      <c r="I902">
        <v>17</v>
      </c>
      <c r="J902" t="s">
        <v>21</v>
      </c>
      <c r="K902">
        <v>35</v>
      </c>
      <c r="L902">
        <v>-11909</v>
      </c>
      <c r="M902">
        <v>-1</v>
      </c>
      <c r="N902">
        <v>-4</v>
      </c>
      <c r="O902">
        <v>-4</v>
      </c>
    </row>
    <row r="903" spans="1:15" x14ac:dyDescent="0.3">
      <c r="A903" s="1">
        <v>42539</v>
      </c>
      <c r="B903">
        <v>308643</v>
      </c>
      <c r="C903">
        <v>327672</v>
      </c>
      <c r="D903">
        <v>9012</v>
      </c>
      <c r="E903">
        <v>2016</v>
      </c>
      <c r="F903">
        <v>6</v>
      </c>
      <c r="G903" t="s">
        <v>28</v>
      </c>
      <c r="H903">
        <v>2</v>
      </c>
      <c r="I903">
        <v>18</v>
      </c>
      <c r="J903" t="s">
        <v>22</v>
      </c>
      <c r="K903">
        <v>34</v>
      </c>
      <c r="L903">
        <v>-19029</v>
      </c>
      <c r="M903">
        <v>-2</v>
      </c>
      <c r="N903">
        <v>-6</v>
      </c>
      <c r="O903">
        <v>-6</v>
      </c>
    </row>
    <row r="904" spans="1:15" x14ac:dyDescent="0.3">
      <c r="A904" s="1">
        <v>42540</v>
      </c>
      <c r="B904">
        <v>134472</v>
      </c>
      <c r="C904">
        <v>139386</v>
      </c>
      <c r="D904">
        <v>3831</v>
      </c>
      <c r="E904">
        <v>2016</v>
      </c>
      <c r="F904">
        <v>6</v>
      </c>
      <c r="G904" t="s">
        <v>28</v>
      </c>
      <c r="H904">
        <v>2</v>
      </c>
      <c r="I904">
        <v>19</v>
      </c>
      <c r="J904" t="s">
        <v>23</v>
      </c>
      <c r="K904">
        <v>35</v>
      </c>
      <c r="L904">
        <v>-4913</v>
      </c>
      <c r="M904">
        <v>-1</v>
      </c>
      <c r="N904">
        <v>-4</v>
      </c>
      <c r="O904">
        <v>-4</v>
      </c>
    </row>
    <row r="905" spans="1:15" x14ac:dyDescent="0.3">
      <c r="A905" s="1">
        <v>42541</v>
      </c>
      <c r="B905">
        <v>143810</v>
      </c>
      <c r="C905">
        <v>148954</v>
      </c>
      <c r="D905">
        <v>4097</v>
      </c>
      <c r="E905">
        <v>2016</v>
      </c>
      <c r="F905">
        <v>6</v>
      </c>
      <c r="G905" t="s">
        <v>28</v>
      </c>
      <c r="H905">
        <v>2</v>
      </c>
      <c r="I905">
        <v>20</v>
      </c>
      <c r="J905" t="s">
        <v>16</v>
      </c>
      <c r="K905">
        <v>35</v>
      </c>
      <c r="L905">
        <v>-5144</v>
      </c>
      <c r="M905">
        <v>-1</v>
      </c>
      <c r="N905">
        <v>-4</v>
      </c>
      <c r="O905">
        <v>-4</v>
      </c>
    </row>
    <row r="906" spans="1:15" x14ac:dyDescent="0.3">
      <c r="A906" s="1">
        <v>42542</v>
      </c>
      <c r="B906">
        <v>123252</v>
      </c>
      <c r="C906">
        <v>127533</v>
      </c>
      <c r="D906">
        <v>3509</v>
      </c>
      <c r="E906">
        <v>2016</v>
      </c>
      <c r="F906">
        <v>6</v>
      </c>
      <c r="G906" t="s">
        <v>28</v>
      </c>
      <c r="H906">
        <v>2</v>
      </c>
      <c r="I906">
        <v>21</v>
      </c>
      <c r="J906" t="s">
        <v>17</v>
      </c>
      <c r="K906">
        <v>35</v>
      </c>
      <c r="L906">
        <v>-4281</v>
      </c>
      <c r="M906">
        <v>-1</v>
      </c>
      <c r="N906">
        <v>-3</v>
      </c>
      <c r="O906">
        <v>-3</v>
      </c>
    </row>
    <row r="907" spans="1:15" x14ac:dyDescent="0.3">
      <c r="A907" s="1">
        <v>42543</v>
      </c>
      <c r="B907">
        <v>40067</v>
      </c>
      <c r="C907">
        <v>34559</v>
      </c>
      <c r="D907">
        <v>953</v>
      </c>
      <c r="E907">
        <v>2016</v>
      </c>
      <c r="F907">
        <v>6</v>
      </c>
      <c r="G907" t="s">
        <v>28</v>
      </c>
      <c r="H907">
        <v>2</v>
      </c>
      <c r="I907">
        <v>22</v>
      </c>
      <c r="J907" t="s">
        <v>19</v>
      </c>
      <c r="K907">
        <v>42</v>
      </c>
      <c r="L907">
        <v>5508</v>
      </c>
      <c r="M907">
        <v>6</v>
      </c>
      <c r="N907">
        <v>14</v>
      </c>
      <c r="O907">
        <v>14</v>
      </c>
    </row>
    <row r="908" spans="1:15" x14ac:dyDescent="0.3">
      <c r="A908" s="1">
        <v>42544</v>
      </c>
      <c r="B908">
        <v>143753</v>
      </c>
      <c r="C908">
        <v>155660</v>
      </c>
      <c r="D908">
        <v>4305</v>
      </c>
      <c r="E908">
        <v>2016</v>
      </c>
      <c r="F908">
        <v>6</v>
      </c>
      <c r="G908" t="s">
        <v>28</v>
      </c>
      <c r="H908">
        <v>2</v>
      </c>
      <c r="I908">
        <v>23</v>
      </c>
      <c r="J908" t="s">
        <v>20</v>
      </c>
      <c r="K908">
        <v>33</v>
      </c>
      <c r="L908">
        <v>-11907</v>
      </c>
      <c r="M908">
        <v>-3</v>
      </c>
      <c r="N908">
        <v>-8</v>
      </c>
      <c r="O908">
        <v>-8</v>
      </c>
    </row>
    <row r="909" spans="1:15" x14ac:dyDescent="0.3">
      <c r="A909" s="1">
        <v>42545</v>
      </c>
      <c r="B909">
        <v>389904</v>
      </c>
      <c r="C909">
        <v>422373</v>
      </c>
      <c r="D909">
        <v>11667</v>
      </c>
      <c r="E909">
        <v>2016</v>
      </c>
      <c r="F909">
        <v>6</v>
      </c>
      <c r="G909" t="s">
        <v>28</v>
      </c>
      <c r="H909">
        <v>2</v>
      </c>
      <c r="I909">
        <v>24</v>
      </c>
      <c r="J909" t="s">
        <v>21</v>
      </c>
      <c r="K909">
        <v>33</v>
      </c>
      <c r="L909">
        <v>-32469</v>
      </c>
      <c r="M909">
        <v>-3</v>
      </c>
      <c r="N909">
        <v>-8</v>
      </c>
      <c r="O909">
        <v>-8</v>
      </c>
    </row>
    <row r="910" spans="1:15" x14ac:dyDescent="0.3">
      <c r="A910" s="1">
        <v>42546</v>
      </c>
      <c r="B910">
        <v>461281</v>
      </c>
      <c r="C910">
        <v>498910</v>
      </c>
      <c r="D910">
        <v>13793</v>
      </c>
      <c r="E910">
        <v>2016</v>
      </c>
      <c r="F910">
        <v>6</v>
      </c>
      <c r="G910" t="s">
        <v>28</v>
      </c>
      <c r="H910">
        <v>2</v>
      </c>
      <c r="I910">
        <v>25</v>
      </c>
      <c r="J910" t="s">
        <v>22</v>
      </c>
      <c r="K910">
        <v>33</v>
      </c>
      <c r="L910">
        <v>-37630</v>
      </c>
      <c r="M910">
        <v>-3</v>
      </c>
      <c r="N910">
        <v>-8</v>
      </c>
      <c r="O910">
        <v>-8</v>
      </c>
    </row>
    <row r="911" spans="1:15" x14ac:dyDescent="0.3">
      <c r="A911" s="1">
        <v>42547</v>
      </c>
      <c r="B911">
        <v>221579</v>
      </c>
      <c r="C911">
        <v>240450</v>
      </c>
      <c r="D911">
        <v>6641</v>
      </c>
      <c r="E911">
        <v>2016</v>
      </c>
      <c r="F911">
        <v>6</v>
      </c>
      <c r="G911" t="s">
        <v>28</v>
      </c>
      <c r="H911">
        <v>2</v>
      </c>
      <c r="I911">
        <v>26</v>
      </c>
      <c r="J911" t="s">
        <v>23</v>
      </c>
      <c r="K911">
        <v>33</v>
      </c>
      <c r="L911">
        <v>-18871</v>
      </c>
      <c r="M911">
        <v>-3</v>
      </c>
      <c r="N911">
        <v>-9</v>
      </c>
      <c r="O911">
        <v>-9</v>
      </c>
    </row>
    <row r="912" spans="1:15" x14ac:dyDescent="0.3">
      <c r="A912" s="1">
        <v>42548</v>
      </c>
      <c r="B912">
        <v>253702</v>
      </c>
      <c r="C912">
        <v>274426</v>
      </c>
      <c r="D912">
        <v>7593</v>
      </c>
      <c r="E912">
        <v>2016</v>
      </c>
      <c r="F912">
        <v>6</v>
      </c>
      <c r="G912" t="s">
        <v>28</v>
      </c>
      <c r="H912">
        <v>2</v>
      </c>
      <c r="I912">
        <v>27</v>
      </c>
      <c r="J912" t="s">
        <v>16</v>
      </c>
      <c r="K912">
        <v>33</v>
      </c>
      <c r="L912">
        <v>-20724</v>
      </c>
      <c r="M912">
        <v>-3</v>
      </c>
      <c r="N912">
        <v>-8</v>
      </c>
      <c r="O912">
        <v>-8</v>
      </c>
    </row>
    <row r="913" spans="1:15" x14ac:dyDescent="0.3">
      <c r="A913" s="1">
        <v>42549</v>
      </c>
      <c r="B913">
        <v>200616</v>
      </c>
      <c r="C913">
        <v>217105</v>
      </c>
      <c r="D913">
        <v>6007</v>
      </c>
      <c r="E913">
        <v>2016</v>
      </c>
      <c r="F913">
        <v>6</v>
      </c>
      <c r="G913" t="s">
        <v>28</v>
      </c>
      <c r="H913">
        <v>2</v>
      </c>
      <c r="I913">
        <v>28</v>
      </c>
      <c r="J913" t="s">
        <v>17</v>
      </c>
      <c r="K913">
        <v>33</v>
      </c>
      <c r="L913">
        <v>-16489</v>
      </c>
      <c r="M913">
        <v>-3</v>
      </c>
      <c r="N913">
        <v>-8</v>
      </c>
      <c r="O913">
        <v>-8</v>
      </c>
    </row>
    <row r="914" spans="1:15" x14ac:dyDescent="0.3">
      <c r="A914" s="1">
        <v>42550</v>
      </c>
      <c r="B914">
        <v>211701</v>
      </c>
      <c r="C914">
        <v>229024</v>
      </c>
      <c r="D914">
        <v>6345</v>
      </c>
      <c r="E914">
        <v>2016</v>
      </c>
      <c r="F914">
        <v>6</v>
      </c>
      <c r="G914" t="s">
        <v>28</v>
      </c>
      <c r="H914">
        <v>2</v>
      </c>
      <c r="I914">
        <v>29</v>
      </c>
      <c r="J914" t="s">
        <v>19</v>
      </c>
      <c r="K914">
        <v>33</v>
      </c>
      <c r="L914">
        <v>-17323</v>
      </c>
      <c r="M914">
        <v>-3</v>
      </c>
      <c r="N914">
        <v>-8</v>
      </c>
      <c r="O914">
        <v>-8</v>
      </c>
    </row>
    <row r="915" spans="1:15" x14ac:dyDescent="0.3">
      <c r="A915" s="1">
        <v>42551</v>
      </c>
      <c r="B915">
        <v>282758</v>
      </c>
      <c r="C915">
        <v>305894</v>
      </c>
      <c r="D915">
        <v>8482</v>
      </c>
      <c r="E915">
        <v>2016</v>
      </c>
      <c r="F915">
        <v>6</v>
      </c>
      <c r="G915" t="s">
        <v>28</v>
      </c>
      <c r="H915">
        <v>2</v>
      </c>
      <c r="I915">
        <v>30</v>
      </c>
      <c r="J915" t="s">
        <v>20</v>
      </c>
      <c r="K915">
        <v>33</v>
      </c>
      <c r="L915">
        <v>-23136</v>
      </c>
      <c r="M915">
        <v>-3</v>
      </c>
      <c r="N915">
        <v>-8</v>
      </c>
      <c r="O915">
        <v>-8</v>
      </c>
    </row>
    <row r="916" spans="1:15" x14ac:dyDescent="0.3">
      <c r="A916" s="1">
        <v>42552</v>
      </c>
      <c r="B916">
        <v>479010</v>
      </c>
      <c r="C916">
        <v>517742</v>
      </c>
      <c r="D916">
        <v>14344</v>
      </c>
      <c r="E916">
        <v>2016</v>
      </c>
      <c r="F916">
        <v>7</v>
      </c>
      <c r="G916" t="s">
        <v>29</v>
      </c>
      <c r="H916">
        <v>3</v>
      </c>
      <c r="I916">
        <v>1</v>
      </c>
      <c r="J916" t="s">
        <v>21</v>
      </c>
      <c r="K916">
        <v>33</v>
      </c>
      <c r="L916">
        <v>-38732</v>
      </c>
      <c r="M916">
        <v>-3</v>
      </c>
      <c r="N916">
        <v>-8</v>
      </c>
      <c r="O916">
        <v>-8</v>
      </c>
    </row>
    <row r="917" spans="1:15" x14ac:dyDescent="0.3">
      <c r="A917" s="1">
        <v>42553</v>
      </c>
      <c r="B917">
        <v>454543</v>
      </c>
      <c r="C917">
        <v>490487</v>
      </c>
      <c r="D917">
        <v>13609</v>
      </c>
      <c r="E917">
        <v>2016</v>
      </c>
      <c r="F917">
        <v>7</v>
      </c>
      <c r="G917" t="s">
        <v>29</v>
      </c>
      <c r="H917">
        <v>3</v>
      </c>
      <c r="I917">
        <v>2</v>
      </c>
      <c r="J917" t="s">
        <v>22</v>
      </c>
      <c r="K917">
        <v>33</v>
      </c>
      <c r="L917">
        <v>-35944</v>
      </c>
      <c r="M917">
        <v>-3</v>
      </c>
      <c r="N917">
        <v>-8</v>
      </c>
      <c r="O917">
        <v>-8</v>
      </c>
    </row>
    <row r="918" spans="1:15" x14ac:dyDescent="0.3">
      <c r="A918" s="1">
        <v>42554</v>
      </c>
      <c r="B918">
        <v>242185</v>
      </c>
      <c r="C918">
        <v>261535</v>
      </c>
      <c r="D918">
        <v>7259</v>
      </c>
      <c r="E918">
        <v>2016</v>
      </c>
      <c r="F918">
        <v>7</v>
      </c>
      <c r="G918" t="s">
        <v>29</v>
      </c>
      <c r="H918">
        <v>3</v>
      </c>
      <c r="I918">
        <v>3</v>
      </c>
      <c r="J918" t="s">
        <v>23</v>
      </c>
      <c r="K918">
        <v>33</v>
      </c>
      <c r="L918">
        <v>-19350</v>
      </c>
      <c r="M918">
        <v>-3</v>
      </c>
      <c r="N918">
        <v>-8</v>
      </c>
      <c r="O918">
        <v>-8</v>
      </c>
    </row>
    <row r="919" spans="1:15" x14ac:dyDescent="0.3">
      <c r="A919" s="1">
        <v>42555</v>
      </c>
      <c r="B919">
        <v>281532</v>
      </c>
      <c r="C919">
        <v>304052</v>
      </c>
      <c r="D919">
        <v>8431</v>
      </c>
      <c r="E919">
        <v>2016</v>
      </c>
      <c r="F919">
        <v>7</v>
      </c>
      <c r="G919" t="s">
        <v>29</v>
      </c>
      <c r="H919">
        <v>3</v>
      </c>
      <c r="I919">
        <v>4</v>
      </c>
      <c r="J919" t="s">
        <v>16</v>
      </c>
      <c r="K919">
        <v>33</v>
      </c>
      <c r="L919">
        <v>-22521</v>
      </c>
      <c r="M919">
        <v>-3</v>
      </c>
      <c r="N919">
        <v>-8</v>
      </c>
      <c r="O919">
        <v>-8</v>
      </c>
    </row>
    <row r="920" spans="1:15" x14ac:dyDescent="0.3">
      <c r="A920" s="1">
        <v>42556</v>
      </c>
      <c r="B920">
        <v>219363</v>
      </c>
      <c r="C920">
        <v>237026</v>
      </c>
      <c r="D920">
        <v>6577</v>
      </c>
      <c r="E920">
        <v>2016</v>
      </c>
      <c r="F920">
        <v>7</v>
      </c>
      <c r="G920" t="s">
        <v>29</v>
      </c>
      <c r="H920">
        <v>3</v>
      </c>
      <c r="I920">
        <v>5</v>
      </c>
      <c r="J920" t="s">
        <v>17</v>
      </c>
      <c r="K920">
        <v>33</v>
      </c>
      <c r="L920">
        <v>-17663</v>
      </c>
      <c r="M920">
        <v>-3</v>
      </c>
      <c r="N920">
        <v>-8</v>
      </c>
      <c r="O920">
        <v>-8</v>
      </c>
    </row>
    <row r="921" spans="1:15" x14ac:dyDescent="0.3">
      <c r="A921" s="1">
        <v>42557</v>
      </c>
      <c r="B921">
        <v>204006</v>
      </c>
      <c r="C921">
        <v>219723</v>
      </c>
      <c r="D921">
        <v>6098</v>
      </c>
      <c r="E921">
        <v>2016</v>
      </c>
      <c r="F921">
        <v>7</v>
      </c>
      <c r="G921" t="s">
        <v>29</v>
      </c>
      <c r="H921">
        <v>3</v>
      </c>
      <c r="I921">
        <v>6</v>
      </c>
      <c r="J921" t="s">
        <v>19</v>
      </c>
      <c r="K921">
        <v>33</v>
      </c>
      <c r="L921">
        <v>-15717</v>
      </c>
      <c r="M921">
        <v>-3</v>
      </c>
      <c r="N921">
        <v>-8</v>
      </c>
      <c r="O921">
        <v>-8</v>
      </c>
    </row>
    <row r="922" spans="1:15" x14ac:dyDescent="0.3">
      <c r="A922" s="1">
        <v>42558</v>
      </c>
      <c r="B922">
        <v>69579</v>
      </c>
      <c r="C922">
        <v>59599</v>
      </c>
      <c r="D922">
        <v>1654</v>
      </c>
      <c r="E922">
        <v>2016</v>
      </c>
      <c r="F922">
        <v>7</v>
      </c>
      <c r="G922" t="s">
        <v>29</v>
      </c>
      <c r="H922">
        <v>3</v>
      </c>
      <c r="I922">
        <v>7</v>
      </c>
      <c r="J922" t="s">
        <v>20</v>
      </c>
      <c r="K922">
        <v>42</v>
      </c>
      <c r="L922">
        <v>9980</v>
      </c>
      <c r="M922">
        <v>6</v>
      </c>
      <c r="N922">
        <v>14</v>
      </c>
      <c r="O922">
        <v>14</v>
      </c>
    </row>
    <row r="923" spans="1:15" x14ac:dyDescent="0.3">
      <c r="A923" s="1">
        <v>42559</v>
      </c>
      <c r="B923">
        <v>87185</v>
      </c>
      <c r="C923">
        <v>74655</v>
      </c>
      <c r="D923">
        <v>2073</v>
      </c>
      <c r="E923">
        <v>2016</v>
      </c>
      <c r="F923">
        <v>7</v>
      </c>
      <c r="G923" t="s">
        <v>29</v>
      </c>
      <c r="H923">
        <v>3</v>
      </c>
      <c r="I923">
        <v>8</v>
      </c>
      <c r="J923" t="s">
        <v>21</v>
      </c>
      <c r="K923">
        <v>42</v>
      </c>
      <c r="L923">
        <v>12530</v>
      </c>
      <c r="M923">
        <v>6</v>
      </c>
      <c r="N923">
        <v>14</v>
      </c>
      <c r="O923">
        <v>14</v>
      </c>
    </row>
    <row r="924" spans="1:15" x14ac:dyDescent="0.3">
      <c r="A924" s="1">
        <v>42560</v>
      </c>
      <c r="B924">
        <v>78700</v>
      </c>
      <c r="C924">
        <v>67367</v>
      </c>
      <c r="D924">
        <v>1871</v>
      </c>
      <c r="E924">
        <v>2016</v>
      </c>
      <c r="F924">
        <v>7</v>
      </c>
      <c r="G924" t="s">
        <v>29</v>
      </c>
      <c r="H924">
        <v>3</v>
      </c>
      <c r="I924">
        <v>9</v>
      </c>
      <c r="J924" t="s">
        <v>22</v>
      </c>
      <c r="K924">
        <v>42</v>
      </c>
      <c r="L924">
        <v>11333</v>
      </c>
      <c r="M924">
        <v>6</v>
      </c>
      <c r="N924">
        <v>14</v>
      </c>
      <c r="O924">
        <v>14</v>
      </c>
    </row>
    <row r="925" spans="1:15" x14ac:dyDescent="0.3">
      <c r="A925" s="1">
        <v>42561</v>
      </c>
      <c r="B925">
        <v>39810</v>
      </c>
      <c r="C925">
        <v>34092</v>
      </c>
      <c r="D925">
        <v>946</v>
      </c>
      <c r="E925">
        <v>2016</v>
      </c>
      <c r="F925">
        <v>7</v>
      </c>
      <c r="G925" t="s">
        <v>29</v>
      </c>
      <c r="H925">
        <v>3</v>
      </c>
      <c r="I925">
        <v>10</v>
      </c>
      <c r="J925" t="s">
        <v>23</v>
      </c>
      <c r="K925">
        <v>42</v>
      </c>
      <c r="L925">
        <v>5718</v>
      </c>
      <c r="M925">
        <v>6</v>
      </c>
      <c r="N925">
        <v>14</v>
      </c>
      <c r="O925">
        <v>14</v>
      </c>
    </row>
    <row r="926" spans="1:15" x14ac:dyDescent="0.3">
      <c r="A926" s="1">
        <v>42562</v>
      </c>
      <c r="B926">
        <v>45839</v>
      </c>
      <c r="C926">
        <v>39231</v>
      </c>
      <c r="D926">
        <v>1090</v>
      </c>
      <c r="E926">
        <v>2016</v>
      </c>
      <c r="F926">
        <v>7</v>
      </c>
      <c r="G926" t="s">
        <v>29</v>
      </c>
      <c r="H926">
        <v>3</v>
      </c>
      <c r="I926">
        <v>11</v>
      </c>
      <c r="J926" t="s">
        <v>16</v>
      </c>
      <c r="K926">
        <v>42</v>
      </c>
      <c r="L926">
        <v>6608</v>
      </c>
      <c r="M926">
        <v>6</v>
      </c>
      <c r="N926">
        <v>14</v>
      </c>
      <c r="O926">
        <v>14</v>
      </c>
    </row>
    <row r="927" spans="1:15" x14ac:dyDescent="0.3">
      <c r="A927" s="1">
        <v>42563</v>
      </c>
      <c r="B927">
        <v>36852</v>
      </c>
      <c r="C927">
        <v>31574</v>
      </c>
      <c r="D927">
        <v>876</v>
      </c>
      <c r="E927">
        <v>2016</v>
      </c>
      <c r="F927">
        <v>7</v>
      </c>
      <c r="G927" t="s">
        <v>29</v>
      </c>
      <c r="H927">
        <v>3</v>
      </c>
      <c r="I927">
        <v>12</v>
      </c>
      <c r="J927" t="s">
        <v>17</v>
      </c>
      <c r="K927">
        <v>42</v>
      </c>
      <c r="L927">
        <v>5277</v>
      </c>
      <c r="M927">
        <v>6</v>
      </c>
      <c r="N927">
        <v>14</v>
      </c>
      <c r="O927">
        <v>14</v>
      </c>
    </row>
    <row r="928" spans="1:15" x14ac:dyDescent="0.3">
      <c r="A928" s="1">
        <v>42564</v>
      </c>
      <c r="B928">
        <v>33226</v>
      </c>
      <c r="C928">
        <v>28489</v>
      </c>
      <c r="D928">
        <v>790</v>
      </c>
      <c r="E928">
        <v>2016</v>
      </c>
      <c r="F928">
        <v>7</v>
      </c>
      <c r="G928" t="s">
        <v>29</v>
      </c>
      <c r="H928">
        <v>3</v>
      </c>
      <c r="I928">
        <v>13</v>
      </c>
      <c r="J928" t="s">
        <v>19</v>
      </c>
      <c r="K928">
        <v>42</v>
      </c>
      <c r="L928">
        <v>4737</v>
      </c>
      <c r="M928">
        <v>6</v>
      </c>
      <c r="N928">
        <v>14</v>
      </c>
      <c r="O928">
        <v>14</v>
      </c>
    </row>
    <row r="929" spans="1:15" x14ac:dyDescent="0.3">
      <c r="A929" s="1">
        <v>42565</v>
      </c>
      <c r="B929">
        <v>30423</v>
      </c>
      <c r="C929">
        <v>26054</v>
      </c>
      <c r="D929">
        <v>723</v>
      </c>
      <c r="E929">
        <v>2016</v>
      </c>
      <c r="F929">
        <v>7</v>
      </c>
      <c r="G929" t="s">
        <v>29</v>
      </c>
      <c r="H929">
        <v>3</v>
      </c>
      <c r="I929">
        <v>14</v>
      </c>
      <c r="J929" t="s">
        <v>20</v>
      </c>
      <c r="K929">
        <v>42</v>
      </c>
      <c r="L929">
        <v>4370</v>
      </c>
      <c r="M929">
        <v>6</v>
      </c>
      <c r="N929">
        <v>14</v>
      </c>
      <c r="O929">
        <v>14</v>
      </c>
    </row>
    <row r="930" spans="1:15" x14ac:dyDescent="0.3">
      <c r="A930" s="1">
        <v>42566</v>
      </c>
      <c r="B930">
        <v>80346</v>
      </c>
      <c r="C930">
        <v>68788</v>
      </c>
      <c r="D930">
        <v>1910</v>
      </c>
      <c r="E930">
        <v>2016</v>
      </c>
      <c r="F930">
        <v>7</v>
      </c>
      <c r="G930" t="s">
        <v>29</v>
      </c>
      <c r="H930">
        <v>3</v>
      </c>
      <c r="I930">
        <v>15</v>
      </c>
      <c r="J930" t="s">
        <v>21</v>
      </c>
      <c r="K930">
        <v>42</v>
      </c>
      <c r="L930">
        <v>11558</v>
      </c>
      <c r="M930">
        <v>6</v>
      </c>
      <c r="N930">
        <v>14</v>
      </c>
      <c r="O930">
        <v>14</v>
      </c>
    </row>
    <row r="931" spans="1:15" x14ac:dyDescent="0.3">
      <c r="A931" s="1">
        <v>42567</v>
      </c>
      <c r="B931">
        <v>95297</v>
      </c>
      <c r="C931">
        <v>81656</v>
      </c>
      <c r="D931">
        <v>2266</v>
      </c>
      <c r="E931">
        <v>2016</v>
      </c>
      <c r="F931">
        <v>7</v>
      </c>
      <c r="G931" t="s">
        <v>29</v>
      </c>
      <c r="H931">
        <v>3</v>
      </c>
      <c r="I931">
        <v>16</v>
      </c>
      <c r="J931" t="s">
        <v>22</v>
      </c>
      <c r="K931">
        <v>42</v>
      </c>
      <c r="L931">
        <v>13641</v>
      </c>
      <c r="M931">
        <v>6</v>
      </c>
      <c r="N931">
        <v>14</v>
      </c>
      <c r="O931">
        <v>14</v>
      </c>
    </row>
    <row r="932" spans="1:15" x14ac:dyDescent="0.3">
      <c r="A932" s="1">
        <v>42568</v>
      </c>
      <c r="B932">
        <v>45324</v>
      </c>
      <c r="C932">
        <v>38810</v>
      </c>
      <c r="D932">
        <v>1078</v>
      </c>
      <c r="E932">
        <v>2016</v>
      </c>
      <c r="F932">
        <v>7</v>
      </c>
      <c r="G932" t="s">
        <v>29</v>
      </c>
      <c r="H932">
        <v>3</v>
      </c>
      <c r="I932">
        <v>17</v>
      </c>
      <c r="J932" t="s">
        <v>23</v>
      </c>
      <c r="K932">
        <v>42</v>
      </c>
      <c r="L932">
        <v>6514</v>
      </c>
      <c r="M932">
        <v>6</v>
      </c>
      <c r="N932">
        <v>14</v>
      </c>
      <c r="O932">
        <v>14</v>
      </c>
    </row>
    <row r="933" spans="1:15" x14ac:dyDescent="0.3">
      <c r="A933" s="1">
        <v>42569</v>
      </c>
      <c r="B933">
        <v>51604</v>
      </c>
      <c r="C933">
        <v>44223</v>
      </c>
      <c r="D933">
        <v>1227</v>
      </c>
      <c r="E933">
        <v>2016</v>
      </c>
      <c r="F933">
        <v>7</v>
      </c>
      <c r="G933" t="s">
        <v>29</v>
      </c>
      <c r="H933">
        <v>3</v>
      </c>
      <c r="I933">
        <v>18</v>
      </c>
      <c r="J933" t="s">
        <v>16</v>
      </c>
      <c r="K933">
        <v>42</v>
      </c>
      <c r="L933">
        <v>7381</v>
      </c>
      <c r="M933">
        <v>6</v>
      </c>
      <c r="N933">
        <v>14</v>
      </c>
      <c r="O933">
        <v>14</v>
      </c>
    </row>
    <row r="934" spans="1:15" x14ac:dyDescent="0.3">
      <c r="A934" s="1">
        <v>42570</v>
      </c>
      <c r="B934">
        <v>37870</v>
      </c>
      <c r="C934">
        <v>32437</v>
      </c>
      <c r="D934">
        <v>900</v>
      </c>
      <c r="E934">
        <v>2016</v>
      </c>
      <c r="F934">
        <v>7</v>
      </c>
      <c r="G934" t="s">
        <v>29</v>
      </c>
      <c r="H934">
        <v>3</v>
      </c>
      <c r="I934">
        <v>19</v>
      </c>
      <c r="J934" t="s">
        <v>17</v>
      </c>
      <c r="K934">
        <v>42</v>
      </c>
      <c r="L934">
        <v>5433</v>
      </c>
      <c r="M934">
        <v>6</v>
      </c>
      <c r="N934">
        <v>14</v>
      </c>
      <c r="O934">
        <v>14</v>
      </c>
    </row>
    <row r="935" spans="1:15" x14ac:dyDescent="0.3">
      <c r="A935" s="1">
        <v>42571</v>
      </c>
      <c r="B935">
        <v>42724</v>
      </c>
      <c r="C935">
        <v>36607</v>
      </c>
      <c r="D935">
        <v>1016</v>
      </c>
      <c r="E935">
        <v>2016</v>
      </c>
      <c r="F935">
        <v>7</v>
      </c>
      <c r="G935" t="s">
        <v>29</v>
      </c>
      <c r="H935">
        <v>3</v>
      </c>
      <c r="I935">
        <v>20</v>
      </c>
      <c r="J935" t="s">
        <v>19</v>
      </c>
      <c r="K935">
        <v>42</v>
      </c>
      <c r="L935">
        <v>6116</v>
      </c>
      <c r="M935">
        <v>6</v>
      </c>
      <c r="N935">
        <v>14</v>
      </c>
      <c r="O935">
        <v>14</v>
      </c>
    </row>
    <row r="936" spans="1:15" x14ac:dyDescent="0.3">
      <c r="A936" s="1">
        <v>42572</v>
      </c>
      <c r="B936">
        <v>35170</v>
      </c>
      <c r="C936">
        <v>30133</v>
      </c>
      <c r="D936">
        <v>836</v>
      </c>
      <c r="E936">
        <v>2016</v>
      </c>
      <c r="F936">
        <v>7</v>
      </c>
      <c r="G936" t="s">
        <v>29</v>
      </c>
      <c r="H936">
        <v>3</v>
      </c>
      <c r="I936">
        <v>21</v>
      </c>
      <c r="J936" t="s">
        <v>20</v>
      </c>
      <c r="K936">
        <v>42</v>
      </c>
      <c r="L936">
        <v>5037</v>
      </c>
      <c r="M936">
        <v>6</v>
      </c>
      <c r="N936">
        <v>14</v>
      </c>
      <c r="O936">
        <v>14</v>
      </c>
    </row>
    <row r="937" spans="1:15" x14ac:dyDescent="0.3">
      <c r="A937" s="1">
        <v>42573</v>
      </c>
      <c r="B937">
        <v>61148</v>
      </c>
      <c r="C937">
        <v>52384</v>
      </c>
      <c r="D937">
        <v>1454</v>
      </c>
      <c r="E937">
        <v>2016</v>
      </c>
      <c r="F937">
        <v>7</v>
      </c>
      <c r="G937" t="s">
        <v>29</v>
      </c>
      <c r="H937">
        <v>3</v>
      </c>
      <c r="I937">
        <v>22</v>
      </c>
      <c r="J937" t="s">
        <v>21</v>
      </c>
      <c r="K937">
        <v>42</v>
      </c>
      <c r="L937">
        <v>8764</v>
      </c>
      <c r="M937">
        <v>6</v>
      </c>
      <c r="N937">
        <v>14</v>
      </c>
      <c r="O937">
        <v>14</v>
      </c>
    </row>
    <row r="938" spans="1:15" x14ac:dyDescent="0.3">
      <c r="A938" s="1">
        <v>42574</v>
      </c>
      <c r="B938">
        <v>77172</v>
      </c>
      <c r="C938">
        <v>66114</v>
      </c>
      <c r="D938">
        <v>1835</v>
      </c>
      <c r="E938">
        <v>2016</v>
      </c>
      <c r="F938">
        <v>7</v>
      </c>
      <c r="G938" t="s">
        <v>29</v>
      </c>
      <c r="H938">
        <v>3</v>
      </c>
      <c r="I938">
        <v>23</v>
      </c>
      <c r="J938" t="s">
        <v>22</v>
      </c>
      <c r="K938">
        <v>42</v>
      </c>
      <c r="L938">
        <v>11058</v>
      </c>
      <c r="M938">
        <v>6</v>
      </c>
      <c r="N938">
        <v>14</v>
      </c>
      <c r="O938">
        <v>14</v>
      </c>
    </row>
    <row r="939" spans="1:15" x14ac:dyDescent="0.3">
      <c r="A939" s="1">
        <v>42575</v>
      </c>
      <c r="B939">
        <v>40881</v>
      </c>
      <c r="C939">
        <v>35019</v>
      </c>
      <c r="D939">
        <v>972</v>
      </c>
      <c r="E939">
        <v>2016</v>
      </c>
      <c r="F939">
        <v>7</v>
      </c>
      <c r="G939" t="s">
        <v>29</v>
      </c>
      <c r="H939">
        <v>3</v>
      </c>
      <c r="I939">
        <v>24</v>
      </c>
      <c r="J939" t="s">
        <v>23</v>
      </c>
      <c r="K939">
        <v>42</v>
      </c>
      <c r="L939">
        <v>5862</v>
      </c>
      <c r="M939">
        <v>6</v>
      </c>
      <c r="N939">
        <v>14</v>
      </c>
      <c r="O939">
        <v>14</v>
      </c>
    </row>
    <row r="940" spans="1:15" x14ac:dyDescent="0.3">
      <c r="A940" s="1">
        <v>42576</v>
      </c>
      <c r="B940">
        <v>43086</v>
      </c>
      <c r="C940">
        <v>36887</v>
      </c>
      <c r="D940">
        <v>1024</v>
      </c>
      <c r="E940">
        <v>2016</v>
      </c>
      <c r="F940">
        <v>7</v>
      </c>
      <c r="G940" t="s">
        <v>29</v>
      </c>
      <c r="H940">
        <v>3</v>
      </c>
      <c r="I940">
        <v>25</v>
      </c>
      <c r="J940" t="s">
        <v>16</v>
      </c>
      <c r="K940">
        <v>42</v>
      </c>
      <c r="L940">
        <v>6198</v>
      </c>
      <c r="M940">
        <v>6</v>
      </c>
      <c r="N940">
        <v>14</v>
      </c>
      <c r="O940">
        <v>14</v>
      </c>
    </row>
    <row r="941" spans="1:15" x14ac:dyDescent="0.3">
      <c r="A941" s="1">
        <v>42577</v>
      </c>
      <c r="B941">
        <v>43895</v>
      </c>
      <c r="C941">
        <v>37605</v>
      </c>
      <c r="D941">
        <v>1044</v>
      </c>
      <c r="E941">
        <v>2016</v>
      </c>
      <c r="F941">
        <v>7</v>
      </c>
      <c r="G941" t="s">
        <v>29</v>
      </c>
      <c r="H941">
        <v>3</v>
      </c>
      <c r="I941">
        <v>26</v>
      </c>
      <c r="J941" t="s">
        <v>17</v>
      </c>
      <c r="K941">
        <v>42</v>
      </c>
      <c r="L941">
        <v>6290</v>
      </c>
      <c r="M941">
        <v>6</v>
      </c>
      <c r="N941">
        <v>14</v>
      </c>
      <c r="O941">
        <v>14</v>
      </c>
    </row>
    <row r="942" spans="1:15" x14ac:dyDescent="0.3">
      <c r="A942" s="1">
        <v>42578</v>
      </c>
      <c r="B942">
        <v>67781</v>
      </c>
      <c r="C942">
        <v>58196</v>
      </c>
      <c r="D942">
        <v>1611</v>
      </c>
      <c r="E942">
        <v>2016</v>
      </c>
      <c r="F942">
        <v>7</v>
      </c>
      <c r="G942" t="s">
        <v>29</v>
      </c>
      <c r="H942">
        <v>3</v>
      </c>
      <c r="I942">
        <v>27</v>
      </c>
      <c r="J942" t="s">
        <v>19</v>
      </c>
      <c r="K942">
        <v>42</v>
      </c>
      <c r="L942">
        <v>9585</v>
      </c>
      <c r="M942">
        <v>6</v>
      </c>
      <c r="N942">
        <v>14</v>
      </c>
      <c r="O942">
        <v>14</v>
      </c>
    </row>
    <row r="943" spans="1:15" x14ac:dyDescent="0.3">
      <c r="A943" s="1">
        <v>42579</v>
      </c>
      <c r="B943">
        <v>51908</v>
      </c>
      <c r="C943">
        <v>44545</v>
      </c>
      <c r="D943">
        <v>1234</v>
      </c>
      <c r="E943">
        <v>2016</v>
      </c>
      <c r="F943">
        <v>7</v>
      </c>
      <c r="G943" t="s">
        <v>29</v>
      </c>
      <c r="H943">
        <v>3</v>
      </c>
      <c r="I943">
        <v>28</v>
      </c>
      <c r="J943" t="s">
        <v>20</v>
      </c>
      <c r="K943">
        <v>42</v>
      </c>
      <c r="L943">
        <v>7363</v>
      </c>
      <c r="M943">
        <v>6</v>
      </c>
      <c r="N943">
        <v>14</v>
      </c>
      <c r="O943">
        <v>14</v>
      </c>
    </row>
    <row r="944" spans="1:15" x14ac:dyDescent="0.3">
      <c r="A944" s="1">
        <v>42580</v>
      </c>
      <c r="B944">
        <v>93509</v>
      </c>
      <c r="C944">
        <v>80347</v>
      </c>
      <c r="D944">
        <v>2223</v>
      </c>
      <c r="E944">
        <v>2016</v>
      </c>
      <c r="F944">
        <v>7</v>
      </c>
      <c r="G944" t="s">
        <v>29</v>
      </c>
      <c r="H944">
        <v>3</v>
      </c>
      <c r="I944">
        <v>29</v>
      </c>
      <c r="J944" t="s">
        <v>21</v>
      </c>
      <c r="K944">
        <v>42</v>
      </c>
      <c r="L944">
        <v>13162</v>
      </c>
      <c r="M944">
        <v>6</v>
      </c>
      <c r="N944">
        <v>14</v>
      </c>
      <c r="O944">
        <v>14</v>
      </c>
    </row>
    <row r="945" spans="1:15" x14ac:dyDescent="0.3">
      <c r="A945" s="1">
        <v>42581</v>
      </c>
      <c r="B945">
        <v>95344</v>
      </c>
      <c r="C945">
        <v>81874</v>
      </c>
      <c r="D945">
        <v>2267</v>
      </c>
      <c r="E945">
        <v>2016</v>
      </c>
      <c r="F945">
        <v>7</v>
      </c>
      <c r="G945" t="s">
        <v>29</v>
      </c>
      <c r="H945">
        <v>3</v>
      </c>
      <c r="I945">
        <v>30</v>
      </c>
      <c r="J945" t="s">
        <v>22</v>
      </c>
      <c r="K945">
        <v>42</v>
      </c>
      <c r="L945">
        <v>13469</v>
      </c>
      <c r="M945">
        <v>6</v>
      </c>
      <c r="N945">
        <v>14</v>
      </c>
      <c r="O945">
        <v>14</v>
      </c>
    </row>
    <row r="946" spans="1:15" x14ac:dyDescent="0.3">
      <c r="A946" s="1">
        <v>42582</v>
      </c>
      <c r="B946">
        <v>59515</v>
      </c>
      <c r="C946">
        <v>51145</v>
      </c>
      <c r="D946">
        <v>1415</v>
      </c>
      <c r="E946">
        <v>2016</v>
      </c>
      <c r="F946">
        <v>7</v>
      </c>
      <c r="G946" t="s">
        <v>29</v>
      </c>
      <c r="H946">
        <v>3</v>
      </c>
      <c r="I946">
        <v>31</v>
      </c>
      <c r="J946" t="s">
        <v>23</v>
      </c>
      <c r="K946">
        <v>42</v>
      </c>
      <c r="L946">
        <v>8370</v>
      </c>
      <c r="M946">
        <v>6</v>
      </c>
      <c r="N946">
        <v>14</v>
      </c>
      <c r="O946">
        <v>14</v>
      </c>
    </row>
    <row r="947" spans="1:15" x14ac:dyDescent="0.3">
      <c r="A947" s="1">
        <v>42583</v>
      </c>
      <c r="B947">
        <v>65134</v>
      </c>
      <c r="C947">
        <v>55946</v>
      </c>
      <c r="D947">
        <v>1548</v>
      </c>
      <c r="E947">
        <v>2016</v>
      </c>
      <c r="F947">
        <v>8</v>
      </c>
      <c r="G947" t="s">
        <v>30</v>
      </c>
      <c r="H947">
        <v>3</v>
      </c>
      <c r="I947">
        <v>1</v>
      </c>
      <c r="J947" t="s">
        <v>16</v>
      </c>
      <c r="K947">
        <v>42</v>
      </c>
      <c r="L947">
        <v>9188</v>
      </c>
      <c r="M947">
        <v>6</v>
      </c>
      <c r="N947">
        <v>14</v>
      </c>
      <c r="O947">
        <v>14</v>
      </c>
    </row>
    <row r="948" spans="1:15" x14ac:dyDescent="0.3">
      <c r="A948" s="1">
        <v>42584</v>
      </c>
      <c r="B948">
        <v>70641</v>
      </c>
      <c r="C948">
        <v>60630</v>
      </c>
      <c r="D948">
        <v>1679</v>
      </c>
      <c r="E948">
        <v>2016</v>
      </c>
      <c r="F948">
        <v>8</v>
      </c>
      <c r="G948" t="s">
        <v>30</v>
      </c>
      <c r="H948">
        <v>3</v>
      </c>
      <c r="I948">
        <v>2</v>
      </c>
      <c r="J948" t="s">
        <v>17</v>
      </c>
      <c r="K948">
        <v>42</v>
      </c>
      <c r="L948">
        <v>10012</v>
      </c>
      <c r="M948">
        <v>6</v>
      </c>
      <c r="N948">
        <v>14</v>
      </c>
      <c r="O948">
        <v>14</v>
      </c>
    </row>
    <row r="949" spans="1:15" x14ac:dyDescent="0.3">
      <c r="A949" s="1">
        <v>42585</v>
      </c>
      <c r="B949">
        <v>48442</v>
      </c>
      <c r="C949">
        <v>41611</v>
      </c>
      <c r="D949">
        <v>1152</v>
      </c>
      <c r="E949">
        <v>2016</v>
      </c>
      <c r="F949">
        <v>8</v>
      </c>
      <c r="G949" t="s">
        <v>30</v>
      </c>
      <c r="H949">
        <v>3</v>
      </c>
      <c r="I949">
        <v>3</v>
      </c>
      <c r="J949" t="s">
        <v>19</v>
      </c>
      <c r="K949">
        <v>42</v>
      </c>
      <c r="L949">
        <v>6831</v>
      </c>
      <c r="M949">
        <v>6</v>
      </c>
      <c r="N949">
        <v>14</v>
      </c>
      <c r="O949">
        <v>14</v>
      </c>
    </row>
    <row r="950" spans="1:15" x14ac:dyDescent="0.3">
      <c r="A950" s="1">
        <v>42586</v>
      </c>
      <c r="B950">
        <v>46291</v>
      </c>
      <c r="C950">
        <v>39783</v>
      </c>
      <c r="D950">
        <v>1101</v>
      </c>
      <c r="E950">
        <v>2016</v>
      </c>
      <c r="F950">
        <v>8</v>
      </c>
      <c r="G950" t="s">
        <v>30</v>
      </c>
      <c r="H950">
        <v>3</v>
      </c>
      <c r="I950">
        <v>4</v>
      </c>
      <c r="J950" t="s">
        <v>20</v>
      </c>
      <c r="K950">
        <v>42</v>
      </c>
      <c r="L950">
        <v>6508</v>
      </c>
      <c r="M950">
        <v>6</v>
      </c>
      <c r="N950">
        <v>14</v>
      </c>
      <c r="O950">
        <v>14</v>
      </c>
    </row>
    <row r="951" spans="1:15" x14ac:dyDescent="0.3">
      <c r="A951" s="1">
        <v>42587</v>
      </c>
      <c r="B951">
        <v>73453</v>
      </c>
      <c r="C951">
        <v>63386</v>
      </c>
      <c r="D951">
        <v>1746</v>
      </c>
      <c r="E951">
        <v>2016</v>
      </c>
      <c r="F951">
        <v>8</v>
      </c>
      <c r="G951" t="s">
        <v>30</v>
      </c>
      <c r="H951">
        <v>3</v>
      </c>
      <c r="I951">
        <v>5</v>
      </c>
      <c r="J951" t="s">
        <v>21</v>
      </c>
      <c r="K951">
        <v>42</v>
      </c>
      <c r="L951">
        <v>10067</v>
      </c>
      <c r="M951">
        <v>6</v>
      </c>
      <c r="N951">
        <v>14</v>
      </c>
      <c r="O951">
        <v>14</v>
      </c>
    </row>
    <row r="952" spans="1:15" x14ac:dyDescent="0.3">
      <c r="A952" s="1">
        <v>42588</v>
      </c>
      <c r="B952">
        <v>71509</v>
      </c>
      <c r="C952">
        <v>61501</v>
      </c>
      <c r="D952">
        <v>1700</v>
      </c>
      <c r="E952">
        <v>2016</v>
      </c>
      <c r="F952">
        <v>8</v>
      </c>
      <c r="G952" t="s">
        <v>30</v>
      </c>
      <c r="H952">
        <v>3</v>
      </c>
      <c r="I952">
        <v>6</v>
      </c>
      <c r="J952" t="s">
        <v>22</v>
      </c>
      <c r="K952">
        <v>42</v>
      </c>
      <c r="L952">
        <v>10008</v>
      </c>
      <c r="M952">
        <v>6</v>
      </c>
      <c r="N952">
        <v>14</v>
      </c>
      <c r="O952">
        <v>14</v>
      </c>
    </row>
    <row r="953" spans="1:15" x14ac:dyDescent="0.3">
      <c r="A953" s="1">
        <v>42589</v>
      </c>
      <c r="B953">
        <v>30066</v>
      </c>
      <c r="C953">
        <v>25872</v>
      </c>
      <c r="D953">
        <v>715</v>
      </c>
      <c r="E953">
        <v>2016</v>
      </c>
      <c r="F953">
        <v>8</v>
      </c>
      <c r="G953" t="s">
        <v>30</v>
      </c>
      <c r="H953">
        <v>3</v>
      </c>
      <c r="I953">
        <v>7</v>
      </c>
      <c r="J953" t="s">
        <v>23</v>
      </c>
      <c r="K953">
        <v>42</v>
      </c>
      <c r="L953">
        <v>4194</v>
      </c>
      <c r="M953">
        <v>6</v>
      </c>
      <c r="N953">
        <v>14</v>
      </c>
      <c r="O953">
        <v>14</v>
      </c>
    </row>
    <row r="954" spans="1:15" x14ac:dyDescent="0.3">
      <c r="A954" s="1">
        <v>42590</v>
      </c>
      <c r="B954">
        <v>37727</v>
      </c>
      <c r="C954">
        <v>32490</v>
      </c>
      <c r="D954">
        <v>897</v>
      </c>
      <c r="E954">
        <v>2016</v>
      </c>
      <c r="F954">
        <v>8</v>
      </c>
      <c r="G954" t="s">
        <v>30</v>
      </c>
      <c r="H954">
        <v>3</v>
      </c>
      <c r="I954">
        <v>8</v>
      </c>
      <c r="J954" t="s">
        <v>16</v>
      </c>
      <c r="K954">
        <v>42</v>
      </c>
      <c r="L954">
        <v>5236</v>
      </c>
      <c r="M954">
        <v>6</v>
      </c>
      <c r="N954">
        <v>14</v>
      </c>
      <c r="O954">
        <v>14</v>
      </c>
    </row>
    <row r="955" spans="1:15" x14ac:dyDescent="0.3">
      <c r="A955" s="1">
        <v>42591</v>
      </c>
      <c r="B955">
        <v>30832</v>
      </c>
      <c r="C955">
        <v>26577</v>
      </c>
      <c r="D955">
        <v>733</v>
      </c>
      <c r="E955">
        <v>2016</v>
      </c>
      <c r="F955">
        <v>8</v>
      </c>
      <c r="G955" t="s">
        <v>30</v>
      </c>
      <c r="H955">
        <v>3</v>
      </c>
      <c r="I955">
        <v>9</v>
      </c>
      <c r="J955" t="s">
        <v>17</v>
      </c>
      <c r="K955">
        <v>42</v>
      </c>
      <c r="L955">
        <v>4255</v>
      </c>
      <c r="M955">
        <v>6</v>
      </c>
      <c r="N955">
        <v>14</v>
      </c>
      <c r="O955">
        <v>14</v>
      </c>
    </row>
    <row r="956" spans="1:15" x14ac:dyDescent="0.3">
      <c r="A956" s="1">
        <v>42592</v>
      </c>
      <c r="B956">
        <v>146811</v>
      </c>
      <c r="C956">
        <v>155136</v>
      </c>
      <c r="D956">
        <v>4282</v>
      </c>
      <c r="E956">
        <v>2016</v>
      </c>
      <c r="F956">
        <v>8</v>
      </c>
      <c r="G956" t="s">
        <v>30</v>
      </c>
      <c r="H956">
        <v>3</v>
      </c>
      <c r="I956">
        <v>10</v>
      </c>
      <c r="J956" t="s">
        <v>19</v>
      </c>
      <c r="K956">
        <v>34</v>
      </c>
      <c r="L956">
        <v>-8324</v>
      </c>
      <c r="M956">
        <v>-2</v>
      </c>
      <c r="N956">
        <v>-6</v>
      </c>
      <c r="O956">
        <v>-6</v>
      </c>
    </row>
    <row r="957" spans="1:15" x14ac:dyDescent="0.3">
      <c r="A957" s="1">
        <v>42593</v>
      </c>
      <c r="B957">
        <v>99867</v>
      </c>
      <c r="C957">
        <v>103827</v>
      </c>
      <c r="D957">
        <v>2867</v>
      </c>
      <c r="E957">
        <v>2016</v>
      </c>
      <c r="F957">
        <v>8</v>
      </c>
      <c r="G957" t="s">
        <v>30</v>
      </c>
      <c r="H957">
        <v>3</v>
      </c>
      <c r="I957">
        <v>11</v>
      </c>
      <c r="J957" t="s">
        <v>20</v>
      </c>
      <c r="K957">
        <v>35</v>
      </c>
      <c r="L957">
        <v>-3959</v>
      </c>
      <c r="M957">
        <v>-1</v>
      </c>
      <c r="N957">
        <v>-4</v>
      </c>
      <c r="O957">
        <v>-4</v>
      </c>
    </row>
    <row r="958" spans="1:15" x14ac:dyDescent="0.3">
      <c r="A958" s="1">
        <v>42594</v>
      </c>
      <c r="B958">
        <v>210665</v>
      </c>
      <c r="C958">
        <v>220379</v>
      </c>
      <c r="D958">
        <v>6082</v>
      </c>
      <c r="E958">
        <v>2016</v>
      </c>
      <c r="F958">
        <v>8</v>
      </c>
      <c r="G958" t="s">
        <v>30</v>
      </c>
      <c r="H958">
        <v>3</v>
      </c>
      <c r="I958">
        <v>12</v>
      </c>
      <c r="J958" t="s">
        <v>21</v>
      </c>
      <c r="K958">
        <v>35</v>
      </c>
      <c r="L958">
        <v>-9714</v>
      </c>
      <c r="M958">
        <v>-2</v>
      </c>
      <c r="N958">
        <v>-5</v>
      </c>
      <c r="O958">
        <v>-5</v>
      </c>
    </row>
    <row r="959" spans="1:15" x14ac:dyDescent="0.3">
      <c r="A959" s="1">
        <v>42595</v>
      </c>
      <c r="B959">
        <v>266271</v>
      </c>
      <c r="C959">
        <v>281658</v>
      </c>
      <c r="D959">
        <v>7771</v>
      </c>
      <c r="E959">
        <v>2016</v>
      </c>
      <c r="F959">
        <v>8</v>
      </c>
      <c r="G959" t="s">
        <v>30</v>
      </c>
      <c r="H959">
        <v>3</v>
      </c>
      <c r="I959">
        <v>13</v>
      </c>
      <c r="J959" t="s">
        <v>22</v>
      </c>
      <c r="K959">
        <v>34</v>
      </c>
      <c r="L959">
        <v>-15387</v>
      </c>
      <c r="M959">
        <v>-2</v>
      </c>
      <c r="N959">
        <v>-6</v>
      </c>
      <c r="O959">
        <v>-6</v>
      </c>
    </row>
    <row r="960" spans="1:15" x14ac:dyDescent="0.3">
      <c r="A960" s="1">
        <v>42596</v>
      </c>
      <c r="B960">
        <v>123084</v>
      </c>
      <c r="C960">
        <v>129602</v>
      </c>
      <c r="D960">
        <v>3576</v>
      </c>
      <c r="E960">
        <v>2016</v>
      </c>
      <c r="F960">
        <v>8</v>
      </c>
      <c r="G960" t="s">
        <v>30</v>
      </c>
      <c r="H960">
        <v>3</v>
      </c>
      <c r="I960">
        <v>14</v>
      </c>
      <c r="J960" t="s">
        <v>23</v>
      </c>
      <c r="K960">
        <v>34</v>
      </c>
      <c r="L960">
        <v>-6517</v>
      </c>
      <c r="M960">
        <v>-2</v>
      </c>
      <c r="N960">
        <v>-5</v>
      </c>
      <c r="O960">
        <v>-5</v>
      </c>
    </row>
    <row r="961" spans="1:15" x14ac:dyDescent="0.3">
      <c r="A961" s="1">
        <v>42597</v>
      </c>
      <c r="B961">
        <v>162728</v>
      </c>
      <c r="C961">
        <v>168580</v>
      </c>
      <c r="D961">
        <v>4649</v>
      </c>
      <c r="E961">
        <v>2016</v>
      </c>
      <c r="F961">
        <v>8</v>
      </c>
      <c r="G961" t="s">
        <v>30</v>
      </c>
      <c r="H961">
        <v>3</v>
      </c>
      <c r="I961">
        <v>15</v>
      </c>
      <c r="J961" t="s">
        <v>16</v>
      </c>
      <c r="K961">
        <v>35</v>
      </c>
      <c r="L961">
        <v>-5853</v>
      </c>
      <c r="M961">
        <v>-1</v>
      </c>
      <c r="N961">
        <v>-4</v>
      </c>
      <c r="O961">
        <v>-4</v>
      </c>
    </row>
    <row r="962" spans="1:15" x14ac:dyDescent="0.3">
      <c r="A962" s="1">
        <v>42598</v>
      </c>
      <c r="B962">
        <v>114709</v>
      </c>
      <c r="C962">
        <v>119758</v>
      </c>
      <c r="D962">
        <v>3302</v>
      </c>
      <c r="E962">
        <v>2016</v>
      </c>
      <c r="F962">
        <v>8</v>
      </c>
      <c r="G962" t="s">
        <v>30</v>
      </c>
      <c r="H962">
        <v>3</v>
      </c>
      <c r="I962">
        <v>16</v>
      </c>
      <c r="J962" t="s">
        <v>17</v>
      </c>
      <c r="K962">
        <v>35</v>
      </c>
      <c r="L962">
        <v>-5049</v>
      </c>
      <c r="M962">
        <v>-2</v>
      </c>
      <c r="N962">
        <v>-4</v>
      </c>
      <c r="O962">
        <v>-4</v>
      </c>
    </row>
    <row r="963" spans="1:15" x14ac:dyDescent="0.3">
      <c r="A963" s="1">
        <v>42599</v>
      </c>
      <c r="B963">
        <v>122319</v>
      </c>
      <c r="C963">
        <v>128298</v>
      </c>
      <c r="D963">
        <v>3536</v>
      </c>
      <c r="E963">
        <v>2016</v>
      </c>
      <c r="F963">
        <v>8</v>
      </c>
      <c r="G963" t="s">
        <v>30</v>
      </c>
      <c r="H963">
        <v>3</v>
      </c>
      <c r="I963">
        <v>17</v>
      </c>
      <c r="J963" t="s">
        <v>19</v>
      </c>
      <c r="K963">
        <v>35</v>
      </c>
      <c r="L963">
        <v>-5979</v>
      </c>
      <c r="M963">
        <v>-2</v>
      </c>
      <c r="N963">
        <v>-5</v>
      </c>
      <c r="O963">
        <v>-5</v>
      </c>
    </row>
    <row r="964" spans="1:15" x14ac:dyDescent="0.3">
      <c r="A964" s="1">
        <v>42600</v>
      </c>
      <c r="B964">
        <v>112010</v>
      </c>
      <c r="C964">
        <v>117374</v>
      </c>
      <c r="D964">
        <v>3236</v>
      </c>
      <c r="E964">
        <v>2016</v>
      </c>
      <c r="F964">
        <v>8</v>
      </c>
      <c r="G964" t="s">
        <v>30</v>
      </c>
      <c r="H964">
        <v>3</v>
      </c>
      <c r="I964">
        <v>18</v>
      </c>
      <c r="J964" t="s">
        <v>20</v>
      </c>
      <c r="K964">
        <v>35</v>
      </c>
      <c r="L964">
        <v>-5364</v>
      </c>
      <c r="M964">
        <v>-2</v>
      </c>
      <c r="N964">
        <v>-5</v>
      </c>
      <c r="O964">
        <v>-5</v>
      </c>
    </row>
    <row r="965" spans="1:15" x14ac:dyDescent="0.3">
      <c r="A965" s="1">
        <v>42601</v>
      </c>
      <c r="B965">
        <v>229861</v>
      </c>
      <c r="C965">
        <v>241090</v>
      </c>
      <c r="D965">
        <v>6646</v>
      </c>
      <c r="E965">
        <v>2016</v>
      </c>
      <c r="F965">
        <v>8</v>
      </c>
      <c r="G965" t="s">
        <v>30</v>
      </c>
      <c r="H965">
        <v>3</v>
      </c>
      <c r="I965">
        <v>19</v>
      </c>
      <c r="J965" t="s">
        <v>21</v>
      </c>
      <c r="K965">
        <v>35</v>
      </c>
      <c r="L965">
        <v>-11229</v>
      </c>
      <c r="M965">
        <v>-2</v>
      </c>
      <c r="N965">
        <v>-5</v>
      </c>
      <c r="O965">
        <v>-5</v>
      </c>
    </row>
    <row r="966" spans="1:15" x14ac:dyDescent="0.3">
      <c r="A966" s="1">
        <v>42602</v>
      </c>
      <c r="B966">
        <v>249981</v>
      </c>
      <c r="C966">
        <v>262145</v>
      </c>
      <c r="D966">
        <v>7220</v>
      </c>
      <c r="E966">
        <v>2016</v>
      </c>
      <c r="F966">
        <v>8</v>
      </c>
      <c r="G966" t="s">
        <v>30</v>
      </c>
      <c r="H966">
        <v>3</v>
      </c>
      <c r="I966">
        <v>20</v>
      </c>
      <c r="J966" t="s">
        <v>22</v>
      </c>
      <c r="K966">
        <v>35</v>
      </c>
      <c r="L966">
        <v>-12164</v>
      </c>
      <c r="M966">
        <v>-2</v>
      </c>
      <c r="N966">
        <v>-5</v>
      </c>
      <c r="O966">
        <v>-5</v>
      </c>
    </row>
    <row r="967" spans="1:15" x14ac:dyDescent="0.3">
      <c r="A967" s="1">
        <v>42603</v>
      </c>
      <c r="B967">
        <v>136480</v>
      </c>
      <c r="C967">
        <v>143734</v>
      </c>
      <c r="D967">
        <v>3958</v>
      </c>
      <c r="E967">
        <v>2016</v>
      </c>
      <c r="F967">
        <v>8</v>
      </c>
      <c r="G967" t="s">
        <v>30</v>
      </c>
      <c r="H967">
        <v>3</v>
      </c>
      <c r="I967">
        <v>21</v>
      </c>
      <c r="J967" t="s">
        <v>23</v>
      </c>
      <c r="K967">
        <v>34</v>
      </c>
      <c r="L967">
        <v>-7254</v>
      </c>
      <c r="M967">
        <v>-2</v>
      </c>
      <c r="N967">
        <v>-5</v>
      </c>
      <c r="O967">
        <v>-5</v>
      </c>
    </row>
    <row r="968" spans="1:15" x14ac:dyDescent="0.3">
      <c r="A968" s="1">
        <v>42604</v>
      </c>
      <c r="B968">
        <v>127370</v>
      </c>
      <c r="C968">
        <v>133350</v>
      </c>
      <c r="D968">
        <v>3672</v>
      </c>
      <c r="E968">
        <v>2016</v>
      </c>
      <c r="F968">
        <v>8</v>
      </c>
      <c r="G968" t="s">
        <v>30</v>
      </c>
      <c r="H968">
        <v>3</v>
      </c>
      <c r="I968">
        <v>22</v>
      </c>
      <c r="J968" t="s">
        <v>16</v>
      </c>
      <c r="K968">
        <v>35</v>
      </c>
      <c r="L968">
        <v>-5980</v>
      </c>
      <c r="M968">
        <v>-2</v>
      </c>
      <c r="N968">
        <v>-5</v>
      </c>
      <c r="O968">
        <v>-5</v>
      </c>
    </row>
    <row r="969" spans="1:15" x14ac:dyDescent="0.3">
      <c r="A969" s="1">
        <v>42605</v>
      </c>
      <c r="B969">
        <v>43538</v>
      </c>
      <c r="C969">
        <v>37649</v>
      </c>
      <c r="D969">
        <v>1035</v>
      </c>
      <c r="E969">
        <v>2016</v>
      </c>
      <c r="F969">
        <v>8</v>
      </c>
      <c r="G969" t="s">
        <v>30</v>
      </c>
      <c r="H969">
        <v>3</v>
      </c>
      <c r="I969">
        <v>23</v>
      </c>
      <c r="J969" t="s">
        <v>17</v>
      </c>
      <c r="K969">
        <v>42</v>
      </c>
      <c r="L969">
        <v>5888</v>
      </c>
      <c r="M969">
        <v>6</v>
      </c>
      <c r="N969">
        <v>14</v>
      </c>
      <c r="O969">
        <v>14</v>
      </c>
    </row>
    <row r="970" spans="1:15" x14ac:dyDescent="0.3">
      <c r="A970" s="1">
        <v>42606</v>
      </c>
      <c r="B970">
        <v>120407</v>
      </c>
      <c r="C970">
        <v>127699</v>
      </c>
      <c r="D970">
        <v>3549</v>
      </c>
      <c r="E970">
        <v>2016</v>
      </c>
      <c r="F970">
        <v>8</v>
      </c>
      <c r="G970" t="s">
        <v>30</v>
      </c>
      <c r="H970">
        <v>3</v>
      </c>
      <c r="I970">
        <v>24</v>
      </c>
      <c r="J970" t="s">
        <v>19</v>
      </c>
      <c r="K970">
        <v>34</v>
      </c>
      <c r="L970">
        <v>-7292</v>
      </c>
      <c r="M970">
        <v>-2</v>
      </c>
      <c r="N970">
        <v>-6</v>
      </c>
      <c r="O970">
        <v>-6</v>
      </c>
    </row>
    <row r="971" spans="1:15" x14ac:dyDescent="0.3">
      <c r="A971" s="1">
        <v>42607</v>
      </c>
      <c r="B971">
        <v>226376</v>
      </c>
      <c r="C971">
        <v>240430</v>
      </c>
      <c r="D971">
        <v>6647</v>
      </c>
      <c r="E971">
        <v>2016</v>
      </c>
      <c r="F971">
        <v>8</v>
      </c>
      <c r="G971" t="s">
        <v>30</v>
      </c>
      <c r="H971">
        <v>3</v>
      </c>
      <c r="I971">
        <v>25</v>
      </c>
      <c r="J971" t="s">
        <v>20</v>
      </c>
      <c r="K971">
        <v>34</v>
      </c>
      <c r="L971">
        <v>-14054</v>
      </c>
      <c r="M971">
        <v>-2</v>
      </c>
      <c r="N971">
        <v>-6</v>
      </c>
      <c r="O971">
        <v>-6</v>
      </c>
    </row>
    <row r="972" spans="1:15" x14ac:dyDescent="0.3">
      <c r="A972" s="1">
        <v>42608</v>
      </c>
      <c r="B972">
        <v>337900</v>
      </c>
      <c r="C972">
        <v>358772</v>
      </c>
      <c r="D972">
        <v>9908</v>
      </c>
      <c r="E972">
        <v>2016</v>
      </c>
      <c r="F972">
        <v>8</v>
      </c>
      <c r="G972" t="s">
        <v>30</v>
      </c>
      <c r="H972">
        <v>3</v>
      </c>
      <c r="I972">
        <v>26</v>
      </c>
      <c r="J972" t="s">
        <v>21</v>
      </c>
      <c r="K972">
        <v>34</v>
      </c>
      <c r="L972">
        <v>-20872</v>
      </c>
      <c r="M972">
        <v>-2</v>
      </c>
      <c r="N972">
        <v>-6</v>
      </c>
      <c r="O972">
        <v>-6</v>
      </c>
    </row>
    <row r="973" spans="1:15" x14ac:dyDescent="0.3">
      <c r="A973" s="1">
        <v>42609</v>
      </c>
      <c r="B973">
        <v>355070</v>
      </c>
      <c r="C973">
        <v>376756</v>
      </c>
      <c r="D973">
        <v>10393</v>
      </c>
      <c r="E973">
        <v>2016</v>
      </c>
      <c r="F973">
        <v>8</v>
      </c>
      <c r="G973" t="s">
        <v>30</v>
      </c>
      <c r="H973">
        <v>3</v>
      </c>
      <c r="I973">
        <v>27</v>
      </c>
      <c r="J973" t="s">
        <v>22</v>
      </c>
      <c r="K973">
        <v>34</v>
      </c>
      <c r="L973">
        <v>-21686</v>
      </c>
      <c r="M973">
        <v>-2</v>
      </c>
      <c r="N973">
        <v>-6</v>
      </c>
      <c r="O973">
        <v>-6</v>
      </c>
    </row>
    <row r="974" spans="1:15" x14ac:dyDescent="0.3">
      <c r="A974" s="1">
        <v>42610</v>
      </c>
      <c r="B974">
        <v>153894</v>
      </c>
      <c r="C974">
        <v>163401</v>
      </c>
      <c r="D974">
        <v>4507</v>
      </c>
      <c r="E974">
        <v>2016</v>
      </c>
      <c r="F974">
        <v>8</v>
      </c>
      <c r="G974" t="s">
        <v>30</v>
      </c>
      <c r="H974">
        <v>3</v>
      </c>
      <c r="I974">
        <v>28</v>
      </c>
      <c r="J974" t="s">
        <v>23</v>
      </c>
      <c r="K974">
        <v>34</v>
      </c>
      <c r="L974">
        <v>-9508</v>
      </c>
      <c r="M974">
        <v>-2</v>
      </c>
      <c r="N974">
        <v>-6</v>
      </c>
      <c r="O974">
        <v>-6</v>
      </c>
    </row>
    <row r="975" spans="1:15" x14ac:dyDescent="0.3">
      <c r="A975" s="1">
        <v>42611</v>
      </c>
      <c r="B975">
        <v>159626</v>
      </c>
      <c r="C975">
        <v>169479</v>
      </c>
      <c r="D975">
        <v>4672</v>
      </c>
      <c r="E975">
        <v>2016</v>
      </c>
      <c r="F975">
        <v>8</v>
      </c>
      <c r="G975" t="s">
        <v>30</v>
      </c>
      <c r="H975">
        <v>3</v>
      </c>
      <c r="I975">
        <v>29</v>
      </c>
      <c r="J975" t="s">
        <v>16</v>
      </c>
      <c r="K975">
        <v>34</v>
      </c>
      <c r="L975">
        <v>-9853</v>
      </c>
      <c r="M975">
        <v>-2</v>
      </c>
      <c r="N975">
        <v>-6</v>
      </c>
      <c r="O975">
        <v>-6</v>
      </c>
    </row>
    <row r="976" spans="1:15" x14ac:dyDescent="0.3">
      <c r="A976" s="1">
        <v>42612</v>
      </c>
      <c r="B976">
        <v>133962</v>
      </c>
      <c r="C976">
        <v>142300</v>
      </c>
      <c r="D976">
        <v>3924</v>
      </c>
      <c r="E976">
        <v>2016</v>
      </c>
      <c r="F976">
        <v>8</v>
      </c>
      <c r="G976" t="s">
        <v>30</v>
      </c>
      <c r="H976">
        <v>3</v>
      </c>
      <c r="I976">
        <v>30</v>
      </c>
      <c r="J976" t="s">
        <v>17</v>
      </c>
      <c r="K976">
        <v>34</v>
      </c>
      <c r="L976">
        <v>-8338</v>
      </c>
      <c r="M976">
        <v>-2</v>
      </c>
      <c r="N976">
        <v>-6</v>
      </c>
      <c r="O976">
        <v>-6</v>
      </c>
    </row>
    <row r="977" spans="1:15" x14ac:dyDescent="0.3">
      <c r="A977" s="1">
        <v>42613</v>
      </c>
      <c r="B977">
        <v>236305</v>
      </c>
      <c r="C977">
        <v>250572</v>
      </c>
      <c r="D977">
        <v>6918</v>
      </c>
      <c r="E977">
        <v>2016</v>
      </c>
      <c r="F977">
        <v>8</v>
      </c>
      <c r="G977" t="s">
        <v>30</v>
      </c>
      <c r="H977">
        <v>3</v>
      </c>
      <c r="I977">
        <v>31</v>
      </c>
      <c r="J977" t="s">
        <v>19</v>
      </c>
      <c r="K977">
        <v>34</v>
      </c>
      <c r="L977">
        <v>-14267</v>
      </c>
      <c r="M977">
        <v>-2</v>
      </c>
      <c r="N977">
        <v>-6</v>
      </c>
      <c r="O977">
        <v>-6</v>
      </c>
    </row>
    <row r="978" spans="1:15" x14ac:dyDescent="0.3">
      <c r="A978" s="1">
        <v>42614</v>
      </c>
      <c r="B978">
        <v>313492</v>
      </c>
      <c r="C978">
        <v>333031</v>
      </c>
      <c r="D978">
        <v>9183</v>
      </c>
      <c r="E978">
        <v>2016</v>
      </c>
      <c r="F978">
        <v>9</v>
      </c>
      <c r="G978" t="s">
        <v>31</v>
      </c>
      <c r="H978">
        <v>3</v>
      </c>
      <c r="I978">
        <v>1</v>
      </c>
      <c r="J978" t="s">
        <v>20</v>
      </c>
      <c r="K978">
        <v>34</v>
      </c>
      <c r="L978">
        <v>-19539</v>
      </c>
      <c r="M978">
        <v>-2</v>
      </c>
      <c r="N978">
        <v>-6</v>
      </c>
      <c r="O978">
        <v>-6</v>
      </c>
    </row>
    <row r="979" spans="1:15" x14ac:dyDescent="0.3">
      <c r="A979" s="1">
        <v>42615</v>
      </c>
      <c r="B979">
        <v>370355</v>
      </c>
      <c r="C979">
        <v>392493</v>
      </c>
      <c r="D979">
        <v>10830</v>
      </c>
      <c r="E979">
        <v>2016</v>
      </c>
      <c r="F979">
        <v>9</v>
      </c>
      <c r="G979" t="s">
        <v>31</v>
      </c>
      <c r="H979">
        <v>3</v>
      </c>
      <c r="I979">
        <v>2</v>
      </c>
      <c r="J979" t="s">
        <v>21</v>
      </c>
      <c r="K979">
        <v>34</v>
      </c>
      <c r="L979">
        <v>-22138</v>
      </c>
      <c r="M979">
        <v>-2</v>
      </c>
      <c r="N979">
        <v>-6</v>
      </c>
      <c r="O979">
        <v>-6</v>
      </c>
    </row>
    <row r="980" spans="1:15" x14ac:dyDescent="0.3">
      <c r="A980" s="1">
        <v>42616</v>
      </c>
      <c r="B980">
        <v>369091</v>
      </c>
      <c r="C980">
        <v>391843</v>
      </c>
      <c r="D980">
        <v>10800</v>
      </c>
      <c r="E980">
        <v>2016</v>
      </c>
      <c r="F980">
        <v>9</v>
      </c>
      <c r="G980" t="s">
        <v>31</v>
      </c>
      <c r="H980">
        <v>3</v>
      </c>
      <c r="I980">
        <v>3</v>
      </c>
      <c r="J980" t="s">
        <v>22</v>
      </c>
      <c r="K980">
        <v>34</v>
      </c>
      <c r="L980">
        <v>-22751</v>
      </c>
      <c r="M980">
        <v>-2</v>
      </c>
      <c r="N980">
        <v>-6</v>
      </c>
      <c r="O980">
        <v>-6</v>
      </c>
    </row>
    <row r="981" spans="1:15" x14ac:dyDescent="0.3">
      <c r="A981" s="1">
        <v>42617</v>
      </c>
      <c r="B981">
        <v>209026</v>
      </c>
      <c r="C981">
        <v>222164</v>
      </c>
      <c r="D981">
        <v>6119</v>
      </c>
      <c r="E981">
        <v>2016</v>
      </c>
      <c r="F981">
        <v>9</v>
      </c>
      <c r="G981" t="s">
        <v>31</v>
      </c>
      <c r="H981">
        <v>3</v>
      </c>
      <c r="I981">
        <v>4</v>
      </c>
      <c r="J981" t="s">
        <v>23</v>
      </c>
      <c r="K981">
        <v>34</v>
      </c>
      <c r="L981">
        <v>-13138</v>
      </c>
      <c r="M981">
        <v>-2</v>
      </c>
      <c r="N981">
        <v>-6</v>
      </c>
      <c r="O981">
        <v>-6</v>
      </c>
    </row>
    <row r="982" spans="1:15" x14ac:dyDescent="0.3">
      <c r="A982" s="1">
        <v>42618</v>
      </c>
      <c r="B982">
        <v>228177</v>
      </c>
      <c r="C982">
        <v>242590</v>
      </c>
      <c r="D982">
        <v>6685</v>
      </c>
      <c r="E982">
        <v>2016</v>
      </c>
      <c r="F982">
        <v>9</v>
      </c>
      <c r="G982" t="s">
        <v>31</v>
      </c>
      <c r="H982">
        <v>3</v>
      </c>
      <c r="I982">
        <v>5</v>
      </c>
      <c r="J982" t="s">
        <v>16</v>
      </c>
      <c r="K982">
        <v>34</v>
      </c>
      <c r="L982">
        <v>-14412</v>
      </c>
      <c r="M982">
        <v>-2</v>
      </c>
      <c r="N982">
        <v>-6</v>
      </c>
      <c r="O982">
        <v>-6</v>
      </c>
    </row>
    <row r="983" spans="1:15" x14ac:dyDescent="0.3">
      <c r="A983" s="1">
        <v>42619</v>
      </c>
      <c r="B983">
        <v>154495</v>
      </c>
      <c r="C983">
        <v>164109</v>
      </c>
      <c r="D983">
        <v>4519</v>
      </c>
      <c r="E983">
        <v>2016</v>
      </c>
      <c r="F983">
        <v>9</v>
      </c>
      <c r="G983" t="s">
        <v>31</v>
      </c>
      <c r="H983">
        <v>3</v>
      </c>
      <c r="I983">
        <v>6</v>
      </c>
      <c r="J983" t="s">
        <v>17</v>
      </c>
      <c r="K983">
        <v>34</v>
      </c>
      <c r="L983">
        <v>-9614</v>
      </c>
      <c r="M983">
        <v>-2</v>
      </c>
      <c r="N983">
        <v>-6</v>
      </c>
      <c r="O983">
        <v>-6</v>
      </c>
    </row>
    <row r="984" spans="1:15" x14ac:dyDescent="0.3">
      <c r="A984" s="1">
        <v>42620</v>
      </c>
      <c r="B984">
        <v>50736</v>
      </c>
      <c r="C984">
        <v>43830</v>
      </c>
      <c r="D984">
        <v>1206</v>
      </c>
      <c r="E984">
        <v>2016</v>
      </c>
      <c r="F984">
        <v>9</v>
      </c>
      <c r="G984" t="s">
        <v>31</v>
      </c>
      <c r="H984">
        <v>3</v>
      </c>
      <c r="I984">
        <v>7</v>
      </c>
      <c r="J984" t="s">
        <v>19</v>
      </c>
      <c r="K984">
        <v>42</v>
      </c>
      <c r="L984">
        <v>6906</v>
      </c>
      <c r="M984">
        <v>6</v>
      </c>
      <c r="N984">
        <v>14</v>
      </c>
      <c r="O984">
        <v>14</v>
      </c>
    </row>
    <row r="985" spans="1:15" x14ac:dyDescent="0.3">
      <c r="A985" s="1">
        <v>42621</v>
      </c>
      <c r="B985">
        <v>43292</v>
      </c>
      <c r="C985">
        <v>37392</v>
      </c>
      <c r="D985">
        <v>1029</v>
      </c>
      <c r="E985">
        <v>2016</v>
      </c>
      <c r="F985">
        <v>9</v>
      </c>
      <c r="G985" t="s">
        <v>31</v>
      </c>
      <c r="H985">
        <v>3</v>
      </c>
      <c r="I985">
        <v>8</v>
      </c>
      <c r="J985" t="s">
        <v>20</v>
      </c>
      <c r="K985">
        <v>42</v>
      </c>
      <c r="L985">
        <v>5900</v>
      </c>
      <c r="M985">
        <v>6</v>
      </c>
      <c r="N985">
        <v>14</v>
      </c>
      <c r="O985">
        <v>14</v>
      </c>
    </row>
    <row r="986" spans="1:15" x14ac:dyDescent="0.3">
      <c r="A986" s="1">
        <v>42622</v>
      </c>
      <c r="B986">
        <v>77336</v>
      </c>
      <c r="C986">
        <v>69612</v>
      </c>
      <c r="D986">
        <v>1917</v>
      </c>
      <c r="E986">
        <v>2016</v>
      </c>
      <c r="F986">
        <v>9</v>
      </c>
      <c r="G986" t="s">
        <v>31</v>
      </c>
      <c r="H986">
        <v>3</v>
      </c>
      <c r="I986">
        <v>9</v>
      </c>
      <c r="J986" t="s">
        <v>21</v>
      </c>
      <c r="K986">
        <v>40</v>
      </c>
      <c r="L986">
        <v>7724</v>
      </c>
      <c r="M986">
        <v>4</v>
      </c>
      <c r="N986">
        <v>10</v>
      </c>
      <c r="O986">
        <v>10</v>
      </c>
    </row>
    <row r="987" spans="1:15" x14ac:dyDescent="0.3">
      <c r="A987" s="1">
        <v>42623</v>
      </c>
      <c r="B987">
        <v>85070</v>
      </c>
      <c r="C987">
        <v>76592</v>
      </c>
      <c r="D987">
        <v>2108</v>
      </c>
      <c r="E987">
        <v>2016</v>
      </c>
      <c r="F987">
        <v>9</v>
      </c>
      <c r="G987" t="s">
        <v>31</v>
      </c>
      <c r="H987">
        <v>3</v>
      </c>
      <c r="I987">
        <v>10</v>
      </c>
      <c r="J987" t="s">
        <v>22</v>
      </c>
      <c r="K987">
        <v>40</v>
      </c>
      <c r="L987">
        <v>8478</v>
      </c>
      <c r="M987">
        <v>4</v>
      </c>
      <c r="N987">
        <v>10</v>
      </c>
      <c r="O987">
        <v>10</v>
      </c>
    </row>
    <row r="988" spans="1:15" x14ac:dyDescent="0.3">
      <c r="A988" s="1">
        <v>42624</v>
      </c>
      <c r="B988">
        <v>48832</v>
      </c>
      <c r="C988">
        <v>44014</v>
      </c>
      <c r="D988">
        <v>1211</v>
      </c>
      <c r="E988">
        <v>2016</v>
      </c>
      <c r="F988">
        <v>9</v>
      </c>
      <c r="G988" t="s">
        <v>31</v>
      </c>
      <c r="H988">
        <v>3</v>
      </c>
      <c r="I988">
        <v>11</v>
      </c>
      <c r="J988" t="s">
        <v>23</v>
      </c>
      <c r="K988">
        <v>40</v>
      </c>
      <c r="L988">
        <v>4817</v>
      </c>
      <c r="M988">
        <v>4</v>
      </c>
      <c r="N988">
        <v>10</v>
      </c>
      <c r="O988">
        <v>10</v>
      </c>
    </row>
    <row r="989" spans="1:15" x14ac:dyDescent="0.3">
      <c r="A989" s="1">
        <v>42625</v>
      </c>
      <c r="B989">
        <v>52075</v>
      </c>
      <c r="C989">
        <v>46884</v>
      </c>
      <c r="D989">
        <v>1291</v>
      </c>
      <c r="E989">
        <v>2016</v>
      </c>
      <c r="F989">
        <v>9</v>
      </c>
      <c r="G989" t="s">
        <v>31</v>
      </c>
      <c r="H989">
        <v>3</v>
      </c>
      <c r="I989">
        <v>12</v>
      </c>
      <c r="J989" t="s">
        <v>16</v>
      </c>
      <c r="K989">
        <v>40</v>
      </c>
      <c r="L989">
        <v>5191</v>
      </c>
      <c r="M989">
        <v>4</v>
      </c>
      <c r="N989">
        <v>10</v>
      </c>
      <c r="O989">
        <v>10</v>
      </c>
    </row>
    <row r="990" spans="1:15" x14ac:dyDescent="0.3">
      <c r="A990" s="1">
        <v>42626</v>
      </c>
      <c r="B990">
        <v>30425</v>
      </c>
      <c r="C990">
        <v>27399</v>
      </c>
      <c r="D990">
        <v>755</v>
      </c>
      <c r="E990">
        <v>2016</v>
      </c>
      <c r="F990">
        <v>9</v>
      </c>
      <c r="G990" t="s">
        <v>31</v>
      </c>
      <c r="H990">
        <v>3</v>
      </c>
      <c r="I990">
        <v>13</v>
      </c>
      <c r="J990" t="s">
        <v>17</v>
      </c>
      <c r="K990">
        <v>40</v>
      </c>
      <c r="L990">
        <v>3026</v>
      </c>
      <c r="M990">
        <v>4</v>
      </c>
      <c r="N990">
        <v>10</v>
      </c>
      <c r="O990">
        <v>10</v>
      </c>
    </row>
    <row r="991" spans="1:15" x14ac:dyDescent="0.3">
      <c r="A991" s="1">
        <v>42627</v>
      </c>
      <c r="B991">
        <v>20495</v>
      </c>
      <c r="C991">
        <v>18375</v>
      </c>
      <c r="D991">
        <v>508</v>
      </c>
      <c r="E991">
        <v>2016</v>
      </c>
      <c r="F991">
        <v>9</v>
      </c>
      <c r="G991" t="s">
        <v>31</v>
      </c>
      <c r="H991">
        <v>3</v>
      </c>
      <c r="I991">
        <v>14</v>
      </c>
      <c r="J991" t="s">
        <v>19</v>
      </c>
      <c r="K991">
        <v>40</v>
      </c>
      <c r="L991">
        <v>2120</v>
      </c>
      <c r="M991">
        <v>4</v>
      </c>
      <c r="N991">
        <v>10</v>
      </c>
      <c r="O991">
        <v>10</v>
      </c>
    </row>
    <row r="992" spans="1:15" x14ac:dyDescent="0.3">
      <c r="A992" s="1">
        <v>42628</v>
      </c>
      <c r="B992">
        <v>40742</v>
      </c>
      <c r="C992">
        <v>36465</v>
      </c>
      <c r="D992">
        <v>1010</v>
      </c>
      <c r="E992">
        <v>2016</v>
      </c>
      <c r="F992">
        <v>9</v>
      </c>
      <c r="G992" t="s">
        <v>31</v>
      </c>
      <c r="H992">
        <v>3</v>
      </c>
      <c r="I992">
        <v>15</v>
      </c>
      <c r="J992" t="s">
        <v>20</v>
      </c>
      <c r="K992">
        <v>40</v>
      </c>
      <c r="L992">
        <v>4277</v>
      </c>
      <c r="M992">
        <v>4</v>
      </c>
      <c r="N992">
        <v>10</v>
      </c>
      <c r="O992">
        <v>10</v>
      </c>
    </row>
    <row r="993" spans="1:15" x14ac:dyDescent="0.3">
      <c r="A993" s="1">
        <v>42629</v>
      </c>
      <c r="B993">
        <v>69865</v>
      </c>
      <c r="C993">
        <v>62545</v>
      </c>
      <c r="D993">
        <v>1733</v>
      </c>
      <c r="E993">
        <v>2016</v>
      </c>
      <c r="F993">
        <v>9</v>
      </c>
      <c r="G993" t="s">
        <v>31</v>
      </c>
      <c r="H993">
        <v>3</v>
      </c>
      <c r="I993">
        <v>16</v>
      </c>
      <c r="J993" t="s">
        <v>21</v>
      </c>
      <c r="K993">
        <v>40</v>
      </c>
      <c r="L993">
        <v>7320</v>
      </c>
      <c r="M993">
        <v>4</v>
      </c>
      <c r="N993">
        <v>10</v>
      </c>
      <c r="O993">
        <v>10</v>
      </c>
    </row>
    <row r="994" spans="1:15" x14ac:dyDescent="0.3">
      <c r="A994" s="1">
        <v>42630</v>
      </c>
      <c r="B994">
        <v>100121</v>
      </c>
      <c r="C994">
        <v>89572</v>
      </c>
      <c r="D994">
        <v>2482</v>
      </c>
      <c r="E994">
        <v>2016</v>
      </c>
      <c r="F994">
        <v>9</v>
      </c>
      <c r="G994" t="s">
        <v>31</v>
      </c>
      <c r="H994">
        <v>3</v>
      </c>
      <c r="I994">
        <v>17</v>
      </c>
      <c r="J994" t="s">
        <v>22</v>
      </c>
      <c r="K994">
        <v>40</v>
      </c>
      <c r="L994">
        <v>10548</v>
      </c>
      <c r="M994">
        <v>4</v>
      </c>
      <c r="N994">
        <v>11</v>
      </c>
      <c r="O994">
        <v>11</v>
      </c>
    </row>
    <row r="995" spans="1:15" x14ac:dyDescent="0.3">
      <c r="A995" s="1">
        <v>42631</v>
      </c>
      <c r="B995">
        <v>49825</v>
      </c>
      <c r="C995">
        <v>44594</v>
      </c>
      <c r="D995">
        <v>1235</v>
      </c>
      <c r="E995">
        <v>2016</v>
      </c>
      <c r="F995">
        <v>9</v>
      </c>
      <c r="G995" t="s">
        <v>31</v>
      </c>
      <c r="H995">
        <v>3</v>
      </c>
      <c r="I995">
        <v>18</v>
      </c>
      <c r="J995" t="s">
        <v>23</v>
      </c>
      <c r="K995">
        <v>40</v>
      </c>
      <c r="L995">
        <v>5231</v>
      </c>
      <c r="M995">
        <v>4</v>
      </c>
      <c r="N995">
        <v>10</v>
      </c>
      <c r="O995">
        <v>10</v>
      </c>
    </row>
    <row r="996" spans="1:15" x14ac:dyDescent="0.3">
      <c r="A996" s="1">
        <v>42632</v>
      </c>
      <c r="B996">
        <v>46566</v>
      </c>
      <c r="C996">
        <v>41660</v>
      </c>
      <c r="D996">
        <v>1155</v>
      </c>
      <c r="E996">
        <v>2016</v>
      </c>
      <c r="F996">
        <v>9</v>
      </c>
      <c r="G996" t="s">
        <v>31</v>
      </c>
      <c r="H996">
        <v>3</v>
      </c>
      <c r="I996">
        <v>19</v>
      </c>
      <c r="J996" t="s">
        <v>16</v>
      </c>
      <c r="K996">
        <v>40</v>
      </c>
      <c r="L996">
        <v>4906</v>
      </c>
      <c r="M996">
        <v>4</v>
      </c>
      <c r="N996">
        <v>11</v>
      </c>
      <c r="O996">
        <v>11</v>
      </c>
    </row>
    <row r="997" spans="1:15" x14ac:dyDescent="0.3">
      <c r="A997" s="1">
        <v>42633</v>
      </c>
      <c r="B997">
        <v>37924</v>
      </c>
      <c r="C997">
        <v>34031</v>
      </c>
      <c r="D997">
        <v>940</v>
      </c>
      <c r="E997">
        <v>2016</v>
      </c>
      <c r="F997">
        <v>9</v>
      </c>
      <c r="G997" t="s">
        <v>31</v>
      </c>
      <c r="H997">
        <v>3</v>
      </c>
      <c r="I997">
        <v>20</v>
      </c>
      <c r="J997" t="s">
        <v>17</v>
      </c>
      <c r="K997">
        <v>40</v>
      </c>
      <c r="L997">
        <v>3893</v>
      </c>
      <c r="M997">
        <v>4</v>
      </c>
      <c r="N997">
        <v>10</v>
      </c>
      <c r="O997">
        <v>10</v>
      </c>
    </row>
    <row r="998" spans="1:15" x14ac:dyDescent="0.3">
      <c r="A998" s="1">
        <v>42634</v>
      </c>
      <c r="B998">
        <v>50085</v>
      </c>
      <c r="C998">
        <v>44832</v>
      </c>
      <c r="D998">
        <v>1241</v>
      </c>
      <c r="E998">
        <v>2016</v>
      </c>
      <c r="F998">
        <v>9</v>
      </c>
      <c r="G998" t="s">
        <v>31</v>
      </c>
      <c r="H998">
        <v>3</v>
      </c>
      <c r="I998">
        <v>21</v>
      </c>
      <c r="J998" t="s">
        <v>19</v>
      </c>
      <c r="K998">
        <v>40</v>
      </c>
      <c r="L998">
        <v>5253</v>
      </c>
      <c r="M998">
        <v>4</v>
      </c>
      <c r="N998">
        <v>10</v>
      </c>
      <c r="O998">
        <v>10</v>
      </c>
    </row>
    <row r="999" spans="1:15" x14ac:dyDescent="0.3">
      <c r="A999" s="1">
        <v>42635</v>
      </c>
      <c r="B999">
        <v>41886</v>
      </c>
      <c r="C999">
        <v>37565</v>
      </c>
      <c r="D999">
        <v>1039</v>
      </c>
      <c r="E999">
        <v>2016</v>
      </c>
      <c r="F999">
        <v>9</v>
      </c>
      <c r="G999" t="s">
        <v>31</v>
      </c>
      <c r="H999">
        <v>3</v>
      </c>
      <c r="I999">
        <v>22</v>
      </c>
      <c r="J999" t="s">
        <v>20</v>
      </c>
      <c r="K999">
        <v>40</v>
      </c>
      <c r="L999">
        <v>4320</v>
      </c>
      <c r="M999">
        <v>4</v>
      </c>
      <c r="N999">
        <v>10</v>
      </c>
      <c r="O999">
        <v>10</v>
      </c>
    </row>
    <row r="1000" spans="1:15" x14ac:dyDescent="0.3">
      <c r="A1000" s="1">
        <v>42636</v>
      </c>
      <c r="B1000">
        <v>147504</v>
      </c>
      <c r="C1000">
        <v>131965</v>
      </c>
      <c r="D1000">
        <v>3657</v>
      </c>
      <c r="E1000">
        <v>2016</v>
      </c>
      <c r="F1000">
        <v>9</v>
      </c>
      <c r="G1000" t="s">
        <v>31</v>
      </c>
      <c r="H1000">
        <v>3</v>
      </c>
      <c r="I1000">
        <v>23</v>
      </c>
      <c r="J1000" t="s">
        <v>21</v>
      </c>
      <c r="K1000">
        <v>40</v>
      </c>
      <c r="L1000">
        <v>15539</v>
      </c>
      <c r="M1000">
        <v>4</v>
      </c>
      <c r="N1000">
        <v>11</v>
      </c>
      <c r="O1000">
        <v>11</v>
      </c>
    </row>
    <row r="1001" spans="1:15" x14ac:dyDescent="0.3">
      <c r="A1001" s="1">
        <v>42637</v>
      </c>
      <c r="B1001">
        <v>151639</v>
      </c>
      <c r="C1001">
        <v>135498</v>
      </c>
      <c r="D1001">
        <v>3758</v>
      </c>
      <c r="E1001">
        <v>2016</v>
      </c>
      <c r="F1001">
        <v>9</v>
      </c>
      <c r="G1001" t="s">
        <v>31</v>
      </c>
      <c r="H1001">
        <v>3</v>
      </c>
      <c r="I1001">
        <v>24</v>
      </c>
      <c r="J1001" t="s">
        <v>22</v>
      </c>
      <c r="K1001">
        <v>40</v>
      </c>
      <c r="L1001">
        <v>16141</v>
      </c>
      <c r="M1001">
        <v>4</v>
      </c>
      <c r="N1001">
        <v>11</v>
      </c>
      <c r="O1001">
        <v>11</v>
      </c>
    </row>
    <row r="1002" spans="1:15" x14ac:dyDescent="0.3">
      <c r="A1002" s="1">
        <v>42638</v>
      </c>
      <c r="B1002">
        <v>72457</v>
      </c>
      <c r="C1002">
        <v>64759</v>
      </c>
      <c r="D1002">
        <v>1797</v>
      </c>
      <c r="E1002">
        <v>2016</v>
      </c>
      <c r="F1002">
        <v>9</v>
      </c>
      <c r="G1002" t="s">
        <v>31</v>
      </c>
      <c r="H1002">
        <v>3</v>
      </c>
      <c r="I1002">
        <v>25</v>
      </c>
      <c r="J1002" t="s">
        <v>23</v>
      </c>
      <c r="K1002">
        <v>40</v>
      </c>
      <c r="L1002">
        <v>7699</v>
      </c>
      <c r="M1002">
        <v>4</v>
      </c>
      <c r="N1002">
        <v>11</v>
      </c>
      <c r="O1002">
        <v>11</v>
      </c>
    </row>
    <row r="1003" spans="1:15" x14ac:dyDescent="0.3">
      <c r="A1003" s="1">
        <v>42639</v>
      </c>
      <c r="B1003">
        <v>67355</v>
      </c>
      <c r="C1003">
        <v>60179</v>
      </c>
      <c r="D1003">
        <v>1671</v>
      </c>
      <c r="E1003">
        <v>2016</v>
      </c>
      <c r="F1003">
        <v>9</v>
      </c>
      <c r="G1003" t="s">
        <v>31</v>
      </c>
      <c r="H1003">
        <v>3</v>
      </c>
      <c r="I1003">
        <v>26</v>
      </c>
      <c r="J1003" t="s">
        <v>16</v>
      </c>
      <c r="K1003">
        <v>40</v>
      </c>
      <c r="L1003">
        <v>7176</v>
      </c>
      <c r="M1003">
        <v>4</v>
      </c>
      <c r="N1003">
        <v>11</v>
      </c>
      <c r="O1003">
        <v>11</v>
      </c>
    </row>
    <row r="1004" spans="1:15" x14ac:dyDescent="0.3">
      <c r="A1004" s="1">
        <v>42640</v>
      </c>
      <c r="B1004">
        <v>58942</v>
      </c>
      <c r="C1004">
        <v>52813</v>
      </c>
      <c r="D1004">
        <v>1462</v>
      </c>
      <c r="E1004">
        <v>2016</v>
      </c>
      <c r="F1004">
        <v>9</v>
      </c>
      <c r="G1004" t="s">
        <v>31</v>
      </c>
      <c r="H1004">
        <v>3</v>
      </c>
      <c r="I1004">
        <v>27</v>
      </c>
      <c r="J1004" t="s">
        <v>17</v>
      </c>
      <c r="K1004">
        <v>40</v>
      </c>
      <c r="L1004">
        <v>6129</v>
      </c>
      <c r="M1004">
        <v>4</v>
      </c>
      <c r="N1004">
        <v>10</v>
      </c>
      <c r="O1004">
        <v>10</v>
      </c>
    </row>
    <row r="1005" spans="1:15" x14ac:dyDescent="0.3">
      <c r="A1005" s="1">
        <v>42641</v>
      </c>
      <c r="B1005">
        <v>58797</v>
      </c>
      <c r="C1005">
        <v>57169</v>
      </c>
      <c r="D1005">
        <v>1581</v>
      </c>
      <c r="E1005">
        <v>2016</v>
      </c>
      <c r="F1005">
        <v>9</v>
      </c>
      <c r="G1005" t="s">
        <v>31</v>
      </c>
      <c r="H1005">
        <v>3</v>
      </c>
      <c r="I1005">
        <v>28</v>
      </c>
      <c r="J1005" t="s">
        <v>19</v>
      </c>
      <c r="K1005">
        <v>37</v>
      </c>
      <c r="L1005">
        <v>1628</v>
      </c>
      <c r="M1005">
        <v>1</v>
      </c>
      <c r="N1005">
        <v>3</v>
      </c>
      <c r="O1005">
        <v>3</v>
      </c>
    </row>
    <row r="1006" spans="1:15" x14ac:dyDescent="0.3">
      <c r="A1006" s="1">
        <v>42642</v>
      </c>
      <c r="B1006">
        <v>57019</v>
      </c>
      <c r="C1006">
        <v>55187</v>
      </c>
      <c r="D1006">
        <v>1534</v>
      </c>
      <c r="E1006">
        <v>2016</v>
      </c>
      <c r="F1006">
        <v>9</v>
      </c>
      <c r="G1006" t="s">
        <v>31</v>
      </c>
      <c r="H1006">
        <v>3</v>
      </c>
      <c r="I1006">
        <v>29</v>
      </c>
      <c r="J1006" t="s">
        <v>20</v>
      </c>
      <c r="K1006">
        <v>37</v>
      </c>
      <c r="L1006">
        <v>1832</v>
      </c>
      <c r="M1006">
        <v>1</v>
      </c>
      <c r="N1006">
        <v>3</v>
      </c>
      <c r="O1006">
        <v>3</v>
      </c>
    </row>
    <row r="1007" spans="1:15" x14ac:dyDescent="0.3">
      <c r="A1007" s="1">
        <v>42643</v>
      </c>
      <c r="B1007">
        <v>155918</v>
      </c>
      <c r="C1007">
        <v>151036</v>
      </c>
      <c r="D1007">
        <v>4216</v>
      </c>
      <c r="E1007">
        <v>2016</v>
      </c>
      <c r="F1007">
        <v>9</v>
      </c>
      <c r="G1007" t="s">
        <v>31</v>
      </c>
      <c r="H1007">
        <v>3</v>
      </c>
      <c r="I1007">
        <v>30</v>
      </c>
      <c r="J1007" t="s">
        <v>21</v>
      </c>
      <c r="K1007">
        <v>37</v>
      </c>
      <c r="L1007">
        <v>4882</v>
      </c>
      <c r="M1007">
        <v>1</v>
      </c>
      <c r="N1007">
        <v>3</v>
      </c>
      <c r="O1007">
        <v>3</v>
      </c>
    </row>
    <row r="1008" spans="1:15" x14ac:dyDescent="0.3">
      <c r="A1008" s="1">
        <v>42644</v>
      </c>
      <c r="B1008">
        <v>208489</v>
      </c>
      <c r="C1008">
        <v>201417</v>
      </c>
      <c r="D1008">
        <v>5632</v>
      </c>
      <c r="E1008">
        <v>2016</v>
      </c>
      <c r="F1008">
        <v>10</v>
      </c>
      <c r="G1008" t="s">
        <v>32</v>
      </c>
      <c r="H1008">
        <v>4</v>
      </c>
      <c r="I1008">
        <v>1</v>
      </c>
      <c r="J1008" t="s">
        <v>22</v>
      </c>
      <c r="K1008">
        <v>37</v>
      </c>
      <c r="L1008">
        <v>7072</v>
      </c>
      <c r="M1008">
        <v>1</v>
      </c>
      <c r="N1008">
        <v>3</v>
      </c>
      <c r="O1008">
        <v>3</v>
      </c>
    </row>
    <row r="1009" spans="1:15" x14ac:dyDescent="0.3">
      <c r="A1009" s="1">
        <v>42645</v>
      </c>
      <c r="B1009">
        <v>118580</v>
      </c>
      <c r="C1009">
        <v>113347</v>
      </c>
      <c r="D1009">
        <v>3173</v>
      </c>
      <c r="E1009">
        <v>2016</v>
      </c>
      <c r="F1009">
        <v>10</v>
      </c>
      <c r="G1009" t="s">
        <v>32</v>
      </c>
      <c r="H1009">
        <v>4</v>
      </c>
      <c r="I1009">
        <v>2</v>
      </c>
      <c r="J1009" t="s">
        <v>23</v>
      </c>
      <c r="K1009">
        <v>37</v>
      </c>
      <c r="L1009">
        <v>5234</v>
      </c>
      <c r="M1009">
        <v>2</v>
      </c>
      <c r="N1009">
        <v>4</v>
      </c>
      <c r="O1009">
        <v>4</v>
      </c>
    </row>
    <row r="1010" spans="1:15" x14ac:dyDescent="0.3">
      <c r="A1010" s="1">
        <v>42646</v>
      </c>
      <c r="B1010">
        <v>142759</v>
      </c>
      <c r="C1010">
        <v>126506</v>
      </c>
      <c r="D1010">
        <v>3540</v>
      </c>
      <c r="E1010">
        <v>2016</v>
      </c>
      <c r="F1010">
        <v>10</v>
      </c>
      <c r="G1010" t="s">
        <v>32</v>
      </c>
      <c r="H1010">
        <v>4</v>
      </c>
      <c r="I1010">
        <v>3</v>
      </c>
      <c r="J1010" t="s">
        <v>16</v>
      </c>
      <c r="K1010">
        <v>40</v>
      </c>
      <c r="L1010">
        <v>16253</v>
      </c>
      <c r="M1010">
        <v>5</v>
      </c>
      <c r="N1010">
        <v>11</v>
      </c>
      <c r="O1010">
        <v>11</v>
      </c>
    </row>
    <row r="1011" spans="1:15" x14ac:dyDescent="0.3">
      <c r="A1011" s="1">
        <v>42647</v>
      </c>
      <c r="B1011">
        <v>96621</v>
      </c>
      <c r="C1011">
        <v>85492</v>
      </c>
      <c r="D1011">
        <v>2397</v>
      </c>
      <c r="E1011">
        <v>2016</v>
      </c>
      <c r="F1011">
        <v>10</v>
      </c>
      <c r="G1011" t="s">
        <v>32</v>
      </c>
      <c r="H1011">
        <v>4</v>
      </c>
      <c r="I1011">
        <v>4</v>
      </c>
      <c r="J1011" t="s">
        <v>17</v>
      </c>
      <c r="K1011">
        <v>40</v>
      </c>
      <c r="L1011">
        <v>11129</v>
      </c>
      <c r="M1011">
        <v>5</v>
      </c>
      <c r="N1011">
        <v>12</v>
      </c>
      <c r="O1011">
        <v>12</v>
      </c>
    </row>
    <row r="1012" spans="1:15" x14ac:dyDescent="0.3">
      <c r="A1012" s="1">
        <v>42648</v>
      </c>
      <c r="B1012">
        <v>78862</v>
      </c>
      <c r="C1012">
        <v>69675</v>
      </c>
      <c r="D1012">
        <v>1955</v>
      </c>
      <c r="E1012">
        <v>2016</v>
      </c>
      <c r="F1012">
        <v>10</v>
      </c>
      <c r="G1012" t="s">
        <v>32</v>
      </c>
      <c r="H1012">
        <v>4</v>
      </c>
      <c r="I1012">
        <v>5</v>
      </c>
      <c r="J1012" t="s">
        <v>19</v>
      </c>
      <c r="K1012">
        <v>40</v>
      </c>
      <c r="L1012">
        <v>9186</v>
      </c>
      <c r="M1012">
        <v>5</v>
      </c>
      <c r="N1012">
        <v>12</v>
      </c>
      <c r="O1012">
        <v>12</v>
      </c>
    </row>
    <row r="1013" spans="1:15" x14ac:dyDescent="0.3">
      <c r="A1013" s="1">
        <v>42649</v>
      </c>
      <c r="B1013">
        <v>70279</v>
      </c>
      <c r="C1013">
        <v>61976</v>
      </c>
      <c r="D1013">
        <v>1740</v>
      </c>
      <c r="E1013">
        <v>2016</v>
      </c>
      <c r="F1013">
        <v>10</v>
      </c>
      <c r="G1013" t="s">
        <v>32</v>
      </c>
      <c r="H1013">
        <v>4</v>
      </c>
      <c r="I1013">
        <v>6</v>
      </c>
      <c r="J1013" t="s">
        <v>20</v>
      </c>
      <c r="K1013">
        <v>40</v>
      </c>
      <c r="L1013">
        <v>8303</v>
      </c>
      <c r="M1013">
        <v>5</v>
      </c>
      <c r="N1013">
        <v>12</v>
      </c>
      <c r="O1013">
        <v>12</v>
      </c>
    </row>
    <row r="1014" spans="1:15" x14ac:dyDescent="0.3">
      <c r="A1014" s="1">
        <v>42650</v>
      </c>
      <c r="B1014">
        <v>87749</v>
      </c>
      <c r="C1014">
        <v>77447</v>
      </c>
      <c r="D1014">
        <v>2176</v>
      </c>
      <c r="E1014">
        <v>2016</v>
      </c>
      <c r="F1014">
        <v>10</v>
      </c>
      <c r="G1014" t="s">
        <v>32</v>
      </c>
      <c r="H1014">
        <v>4</v>
      </c>
      <c r="I1014">
        <v>7</v>
      </c>
      <c r="J1014" t="s">
        <v>21</v>
      </c>
      <c r="K1014">
        <v>40</v>
      </c>
      <c r="L1014">
        <v>10302</v>
      </c>
      <c r="M1014">
        <v>5</v>
      </c>
      <c r="N1014">
        <v>12</v>
      </c>
      <c r="O1014">
        <v>12</v>
      </c>
    </row>
    <row r="1015" spans="1:15" x14ac:dyDescent="0.3">
      <c r="A1015" s="1">
        <v>42651</v>
      </c>
      <c r="B1015">
        <v>92053</v>
      </c>
      <c r="C1015">
        <v>81209</v>
      </c>
      <c r="D1015">
        <v>2283</v>
      </c>
      <c r="E1015">
        <v>2016</v>
      </c>
      <c r="F1015">
        <v>10</v>
      </c>
      <c r="G1015" t="s">
        <v>32</v>
      </c>
      <c r="H1015">
        <v>4</v>
      </c>
      <c r="I1015">
        <v>8</v>
      </c>
      <c r="J1015" t="s">
        <v>22</v>
      </c>
      <c r="K1015">
        <v>40</v>
      </c>
      <c r="L1015">
        <v>10844</v>
      </c>
      <c r="M1015">
        <v>5</v>
      </c>
      <c r="N1015">
        <v>12</v>
      </c>
      <c r="O1015">
        <v>12</v>
      </c>
    </row>
    <row r="1016" spans="1:15" x14ac:dyDescent="0.3">
      <c r="A1016" s="1">
        <v>42652</v>
      </c>
      <c r="B1016">
        <v>51751</v>
      </c>
      <c r="C1016">
        <v>45607</v>
      </c>
      <c r="D1016">
        <v>1284</v>
      </c>
      <c r="E1016">
        <v>2016</v>
      </c>
      <c r="F1016">
        <v>10</v>
      </c>
      <c r="G1016" t="s">
        <v>32</v>
      </c>
      <c r="H1016">
        <v>4</v>
      </c>
      <c r="I1016">
        <v>9</v>
      </c>
      <c r="J1016" t="s">
        <v>23</v>
      </c>
      <c r="K1016">
        <v>40</v>
      </c>
      <c r="L1016">
        <v>6144</v>
      </c>
      <c r="M1016">
        <v>5</v>
      </c>
      <c r="N1016">
        <v>12</v>
      </c>
      <c r="O1016">
        <v>12</v>
      </c>
    </row>
    <row r="1017" spans="1:15" x14ac:dyDescent="0.3">
      <c r="A1017" s="1">
        <v>42653</v>
      </c>
      <c r="B1017">
        <v>50935</v>
      </c>
      <c r="C1017">
        <v>44984</v>
      </c>
      <c r="D1017">
        <v>1263</v>
      </c>
      <c r="E1017">
        <v>2016</v>
      </c>
      <c r="F1017">
        <v>10</v>
      </c>
      <c r="G1017" t="s">
        <v>32</v>
      </c>
      <c r="H1017">
        <v>4</v>
      </c>
      <c r="I1017">
        <v>10</v>
      </c>
      <c r="J1017" t="s">
        <v>16</v>
      </c>
      <c r="K1017">
        <v>40</v>
      </c>
      <c r="L1017">
        <v>5951</v>
      </c>
      <c r="M1017">
        <v>5</v>
      </c>
      <c r="N1017">
        <v>12</v>
      </c>
      <c r="O1017">
        <v>12</v>
      </c>
    </row>
    <row r="1018" spans="1:15" x14ac:dyDescent="0.3">
      <c r="A1018" s="1">
        <v>42654</v>
      </c>
      <c r="B1018">
        <v>36114</v>
      </c>
      <c r="C1018">
        <v>31885</v>
      </c>
      <c r="D1018">
        <v>896</v>
      </c>
      <c r="E1018">
        <v>2016</v>
      </c>
      <c r="F1018">
        <v>10</v>
      </c>
      <c r="G1018" t="s">
        <v>32</v>
      </c>
      <c r="H1018">
        <v>4</v>
      </c>
      <c r="I1018">
        <v>11</v>
      </c>
      <c r="J1018" t="s">
        <v>17</v>
      </c>
      <c r="K1018">
        <v>40</v>
      </c>
      <c r="L1018">
        <v>4229</v>
      </c>
      <c r="M1018">
        <v>5</v>
      </c>
      <c r="N1018">
        <v>12</v>
      </c>
      <c r="O1018">
        <v>12</v>
      </c>
    </row>
    <row r="1019" spans="1:15" x14ac:dyDescent="0.3">
      <c r="A1019" s="1">
        <v>42655</v>
      </c>
      <c r="B1019">
        <v>31023</v>
      </c>
      <c r="C1019">
        <v>27818</v>
      </c>
      <c r="D1019">
        <v>768</v>
      </c>
      <c r="E1019">
        <v>2016</v>
      </c>
      <c r="F1019">
        <v>10</v>
      </c>
      <c r="G1019" t="s">
        <v>32</v>
      </c>
      <c r="H1019">
        <v>4</v>
      </c>
      <c r="I1019">
        <v>12</v>
      </c>
      <c r="J1019" t="s">
        <v>19</v>
      </c>
      <c r="K1019">
        <v>40</v>
      </c>
      <c r="L1019">
        <v>3206</v>
      </c>
      <c r="M1019">
        <v>4</v>
      </c>
      <c r="N1019">
        <v>10</v>
      </c>
      <c r="O1019">
        <v>10</v>
      </c>
    </row>
    <row r="1020" spans="1:15" x14ac:dyDescent="0.3">
      <c r="A1020" s="1">
        <v>42656</v>
      </c>
      <c r="B1020">
        <v>22334</v>
      </c>
      <c r="C1020">
        <v>19704</v>
      </c>
      <c r="D1020">
        <v>521</v>
      </c>
      <c r="E1020">
        <v>2016</v>
      </c>
      <c r="F1020">
        <v>10</v>
      </c>
      <c r="G1020" t="s">
        <v>32</v>
      </c>
      <c r="H1020">
        <v>4</v>
      </c>
      <c r="I1020">
        <v>13</v>
      </c>
      <c r="J1020" t="s">
        <v>20</v>
      </c>
      <c r="K1020">
        <v>43</v>
      </c>
      <c r="L1020">
        <v>2630</v>
      </c>
      <c r="M1020">
        <v>5</v>
      </c>
      <c r="N1020">
        <v>12</v>
      </c>
      <c r="O1020">
        <v>12</v>
      </c>
    </row>
    <row r="1021" spans="1:15" x14ac:dyDescent="0.3">
      <c r="A1021" s="1">
        <v>42657</v>
      </c>
      <c r="B1021">
        <v>69441</v>
      </c>
      <c r="C1021">
        <v>62071</v>
      </c>
      <c r="D1021">
        <v>1618</v>
      </c>
      <c r="E1021">
        <v>2016</v>
      </c>
      <c r="F1021">
        <v>10</v>
      </c>
      <c r="G1021" t="s">
        <v>32</v>
      </c>
      <c r="H1021">
        <v>4</v>
      </c>
      <c r="I1021">
        <v>14</v>
      </c>
      <c r="J1021" t="s">
        <v>21</v>
      </c>
      <c r="K1021">
        <v>43</v>
      </c>
      <c r="L1021">
        <v>7370</v>
      </c>
      <c r="M1021">
        <v>5</v>
      </c>
      <c r="N1021">
        <v>11</v>
      </c>
      <c r="O1021">
        <v>11</v>
      </c>
    </row>
    <row r="1022" spans="1:15" x14ac:dyDescent="0.3">
      <c r="A1022" s="1">
        <v>42658</v>
      </c>
      <c r="B1022">
        <v>92159</v>
      </c>
      <c r="C1022">
        <v>83372</v>
      </c>
      <c r="D1022">
        <v>2147</v>
      </c>
      <c r="E1022">
        <v>2016</v>
      </c>
      <c r="F1022">
        <v>10</v>
      </c>
      <c r="G1022" t="s">
        <v>32</v>
      </c>
      <c r="H1022">
        <v>4</v>
      </c>
      <c r="I1022">
        <v>15</v>
      </c>
      <c r="J1022" t="s">
        <v>22</v>
      </c>
      <c r="K1022">
        <v>43</v>
      </c>
      <c r="L1022">
        <v>8787</v>
      </c>
      <c r="M1022">
        <v>4</v>
      </c>
      <c r="N1022">
        <v>10</v>
      </c>
      <c r="O1022">
        <v>10</v>
      </c>
    </row>
    <row r="1023" spans="1:15" x14ac:dyDescent="0.3">
      <c r="A1023" s="1">
        <v>42659</v>
      </c>
      <c r="B1023">
        <v>57296</v>
      </c>
      <c r="C1023">
        <v>52701</v>
      </c>
      <c r="D1023">
        <v>1335</v>
      </c>
      <c r="E1023">
        <v>2016</v>
      </c>
      <c r="F1023">
        <v>10</v>
      </c>
      <c r="G1023" t="s">
        <v>32</v>
      </c>
      <c r="H1023">
        <v>4</v>
      </c>
      <c r="I1023">
        <v>16</v>
      </c>
      <c r="J1023" t="s">
        <v>23</v>
      </c>
      <c r="K1023">
        <v>43</v>
      </c>
      <c r="L1023">
        <v>4595</v>
      </c>
      <c r="M1023">
        <v>3</v>
      </c>
      <c r="N1023">
        <v>8</v>
      </c>
      <c r="O1023">
        <v>8</v>
      </c>
    </row>
    <row r="1024" spans="1:15" x14ac:dyDescent="0.3">
      <c r="A1024" s="1">
        <v>42660</v>
      </c>
      <c r="B1024">
        <v>57185</v>
      </c>
      <c r="C1024">
        <v>51765</v>
      </c>
      <c r="D1024">
        <v>1332</v>
      </c>
      <c r="E1024">
        <v>2016</v>
      </c>
      <c r="F1024">
        <v>10</v>
      </c>
      <c r="G1024" t="s">
        <v>32</v>
      </c>
      <c r="H1024">
        <v>4</v>
      </c>
      <c r="I1024">
        <v>17</v>
      </c>
      <c r="J1024" t="s">
        <v>16</v>
      </c>
      <c r="K1024">
        <v>43</v>
      </c>
      <c r="L1024">
        <v>5420</v>
      </c>
      <c r="M1024">
        <v>4</v>
      </c>
      <c r="N1024">
        <v>9</v>
      </c>
      <c r="O1024">
        <v>9</v>
      </c>
    </row>
    <row r="1025" spans="1:15" x14ac:dyDescent="0.3">
      <c r="A1025" s="1">
        <v>42661</v>
      </c>
      <c r="B1025">
        <v>40951</v>
      </c>
      <c r="C1025">
        <v>37289</v>
      </c>
      <c r="D1025">
        <v>954</v>
      </c>
      <c r="E1025">
        <v>2016</v>
      </c>
      <c r="F1025">
        <v>10</v>
      </c>
      <c r="G1025" t="s">
        <v>32</v>
      </c>
      <c r="H1025">
        <v>4</v>
      </c>
      <c r="I1025">
        <v>18</v>
      </c>
      <c r="J1025" t="s">
        <v>17</v>
      </c>
      <c r="K1025">
        <v>43</v>
      </c>
      <c r="L1025">
        <v>3662</v>
      </c>
      <c r="M1025">
        <v>4</v>
      </c>
      <c r="N1025">
        <v>9</v>
      </c>
      <c r="O1025">
        <v>9</v>
      </c>
    </row>
    <row r="1026" spans="1:15" x14ac:dyDescent="0.3">
      <c r="A1026" s="1">
        <v>42662</v>
      </c>
      <c r="B1026">
        <v>37672</v>
      </c>
      <c r="C1026">
        <v>33678</v>
      </c>
      <c r="D1026">
        <v>877</v>
      </c>
      <c r="E1026">
        <v>2016</v>
      </c>
      <c r="F1026">
        <v>10</v>
      </c>
      <c r="G1026" t="s">
        <v>32</v>
      </c>
      <c r="H1026">
        <v>4</v>
      </c>
      <c r="I1026">
        <v>19</v>
      </c>
      <c r="J1026" t="s">
        <v>19</v>
      </c>
      <c r="K1026">
        <v>43</v>
      </c>
      <c r="L1026">
        <v>3994</v>
      </c>
      <c r="M1026">
        <v>5</v>
      </c>
      <c r="N1026">
        <v>11</v>
      </c>
      <c r="O1026">
        <v>11</v>
      </c>
    </row>
    <row r="1027" spans="1:15" x14ac:dyDescent="0.3">
      <c r="A1027" s="1">
        <v>42663</v>
      </c>
      <c r="B1027">
        <v>38648</v>
      </c>
      <c r="C1027">
        <v>35038</v>
      </c>
      <c r="D1027">
        <v>906</v>
      </c>
      <c r="E1027">
        <v>2016</v>
      </c>
      <c r="F1027">
        <v>10</v>
      </c>
      <c r="G1027" t="s">
        <v>32</v>
      </c>
      <c r="H1027">
        <v>4</v>
      </c>
      <c r="I1027">
        <v>20</v>
      </c>
      <c r="J1027" t="s">
        <v>20</v>
      </c>
      <c r="K1027">
        <v>43</v>
      </c>
      <c r="L1027">
        <v>3610</v>
      </c>
      <c r="M1027">
        <v>4</v>
      </c>
      <c r="N1027">
        <v>9</v>
      </c>
      <c r="O1027">
        <v>9</v>
      </c>
    </row>
    <row r="1028" spans="1:15" x14ac:dyDescent="0.3">
      <c r="A1028" s="1">
        <v>42664</v>
      </c>
      <c r="B1028">
        <v>96021</v>
      </c>
      <c r="C1028">
        <v>86810</v>
      </c>
      <c r="D1028">
        <v>2249</v>
      </c>
      <c r="E1028">
        <v>2016</v>
      </c>
      <c r="F1028">
        <v>10</v>
      </c>
      <c r="G1028" t="s">
        <v>32</v>
      </c>
      <c r="H1028">
        <v>4</v>
      </c>
      <c r="I1028">
        <v>21</v>
      </c>
      <c r="J1028" t="s">
        <v>21</v>
      </c>
      <c r="K1028">
        <v>43</v>
      </c>
      <c r="L1028">
        <v>9210</v>
      </c>
      <c r="M1028">
        <v>4</v>
      </c>
      <c r="N1028">
        <v>10</v>
      </c>
      <c r="O1028">
        <v>10</v>
      </c>
    </row>
    <row r="1029" spans="1:15" x14ac:dyDescent="0.3">
      <c r="A1029" s="1">
        <v>42665</v>
      </c>
      <c r="B1029">
        <v>105663</v>
      </c>
      <c r="C1029">
        <v>95930</v>
      </c>
      <c r="D1029">
        <v>2472</v>
      </c>
      <c r="E1029">
        <v>2016</v>
      </c>
      <c r="F1029">
        <v>10</v>
      </c>
      <c r="G1029" t="s">
        <v>32</v>
      </c>
      <c r="H1029">
        <v>4</v>
      </c>
      <c r="I1029">
        <v>22</v>
      </c>
      <c r="J1029" t="s">
        <v>22</v>
      </c>
      <c r="K1029">
        <v>43</v>
      </c>
      <c r="L1029">
        <v>9733</v>
      </c>
      <c r="M1029">
        <v>4</v>
      </c>
      <c r="N1029">
        <v>9</v>
      </c>
      <c r="O1029">
        <v>9</v>
      </c>
    </row>
    <row r="1030" spans="1:15" x14ac:dyDescent="0.3">
      <c r="A1030" s="1">
        <v>42666</v>
      </c>
      <c r="B1030">
        <v>54738</v>
      </c>
      <c r="C1030">
        <v>49991</v>
      </c>
      <c r="D1030">
        <v>1280</v>
      </c>
      <c r="E1030">
        <v>2016</v>
      </c>
      <c r="F1030">
        <v>10</v>
      </c>
      <c r="G1030" t="s">
        <v>32</v>
      </c>
      <c r="H1030">
        <v>4</v>
      </c>
      <c r="I1030">
        <v>23</v>
      </c>
      <c r="J1030" t="s">
        <v>23</v>
      </c>
      <c r="K1030">
        <v>43</v>
      </c>
      <c r="L1030">
        <v>4748</v>
      </c>
      <c r="M1030">
        <v>4</v>
      </c>
      <c r="N1030">
        <v>9</v>
      </c>
      <c r="O1030">
        <v>9</v>
      </c>
    </row>
    <row r="1031" spans="1:15" x14ac:dyDescent="0.3">
      <c r="A1031" s="1">
        <v>42667</v>
      </c>
      <c r="B1031">
        <v>40132</v>
      </c>
      <c r="C1031">
        <v>36348</v>
      </c>
      <c r="D1031">
        <v>940</v>
      </c>
      <c r="E1031">
        <v>2016</v>
      </c>
      <c r="F1031">
        <v>10</v>
      </c>
      <c r="G1031" t="s">
        <v>32</v>
      </c>
      <c r="H1031">
        <v>4</v>
      </c>
      <c r="I1031">
        <v>24</v>
      </c>
      <c r="J1031" t="s">
        <v>16</v>
      </c>
      <c r="K1031">
        <v>43</v>
      </c>
      <c r="L1031">
        <v>3784</v>
      </c>
      <c r="M1031">
        <v>4</v>
      </c>
      <c r="N1031">
        <v>9</v>
      </c>
      <c r="O1031">
        <v>9</v>
      </c>
    </row>
    <row r="1032" spans="1:15" x14ac:dyDescent="0.3">
      <c r="A1032" s="1">
        <v>42668</v>
      </c>
      <c r="B1032">
        <v>70403</v>
      </c>
      <c r="C1032">
        <v>63453</v>
      </c>
      <c r="D1032">
        <v>1650</v>
      </c>
      <c r="E1032">
        <v>2016</v>
      </c>
      <c r="F1032">
        <v>10</v>
      </c>
      <c r="G1032" t="s">
        <v>32</v>
      </c>
      <c r="H1032">
        <v>4</v>
      </c>
      <c r="I1032">
        <v>25</v>
      </c>
      <c r="J1032" t="s">
        <v>17</v>
      </c>
      <c r="K1032">
        <v>43</v>
      </c>
      <c r="L1032">
        <v>6950</v>
      </c>
      <c r="M1032">
        <v>4</v>
      </c>
      <c r="N1032">
        <v>10</v>
      </c>
      <c r="O1032">
        <v>10</v>
      </c>
    </row>
    <row r="1033" spans="1:15" x14ac:dyDescent="0.3">
      <c r="A1033" s="1">
        <v>42669</v>
      </c>
      <c r="B1033">
        <v>62502</v>
      </c>
      <c r="C1033">
        <v>56101</v>
      </c>
      <c r="D1033">
        <v>1467</v>
      </c>
      <c r="E1033">
        <v>2016</v>
      </c>
      <c r="F1033">
        <v>10</v>
      </c>
      <c r="G1033" t="s">
        <v>32</v>
      </c>
      <c r="H1033">
        <v>4</v>
      </c>
      <c r="I1033">
        <v>26</v>
      </c>
      <c r="J1033" t="s">
        <v>19</v>
      </c>
      <c r="K1033">
        <v>43</v>
      </c>
      <c r="L1033">
        <v>6401</v>
      </c>
      <c r="M1033">
        <v>4</v>
      </c>
      <c r="N1033">
        <v>10</v>
      </c>
      <c r="O1033">
        <v>10</v>
      </c>
    </row>
    <row r="1034" spans="1:15" x14ac:dyDescent="0.3">
      <c r="A1034" s="1">
        <v>42670</v>
      </c>
      <c r="B1034">
        <v>53675</v>
      </c>
      <c r="C1034">
        <v>48202</v>
      </c>
      <c r="D1034">
        <v>1257</v>
      </c>
      <c r="E1034">
        <v>2016</v>
      </c>
      <c r="F1034">
        <v>10</v>
      </c>
      <c r="G1034" t="s">
        <v>32</v>
      </c>
      <c r="H1034">
        <v>4</v>
      </c>
      <c r="I1034">
        <v>27</v>
      </c>
      <c r="J1034" t="s">
        <v>20</v>
      </c>
      <c r="K1034">
        <v>43</v>
      </c>
      <c r="L1034">
        <v>5473</v>
      </c>
      <c r="M1034">
        <v>4</v>
      </c>
      <c r="N1034">
        <v>10</v>
      </c>
      <c r="O1034">
        <v>10</v>
      </c>
    </row>
    <row r="1035" spans="1:15" x14ac:dyDescent="0.3">
      <c r="A1035" s="1">
        <v>42671</v>
      </c>
      <c r="B1035">
        <v>102606</v>
      </c>
      <c r="C1035">
        <v>92658</v>
      </c>
      <c r="D1035">
        <v>2405</v>
      </c>
      <c r="E1035">
        <v>2016</v>
      </c>
      <c r="F1035">
        <v>10</v>
      </c>
      <c r="G1035" t="s">
        <v>32</v>
      </c>
      <c r="H1035">
        <v>4</v>
      </c>
      <c r="I1035">
        <v>28</v>
      </c>
      <c r="J1035" t="s">
        <v>21</v>
      </c>
      <c r="K1035">
        <v>43</v>
      </c>
      <c r="L1035">
        <v>9949</v>
      </c>
      <c r="M1035">
        <v>4</v>
      </c>
      <c r="N1035">
        <v>10</v>
      </c>
      <c r="O1035">
        <v>10</v>
      </c>
    </row>
    <row r="1036" spans="1:15" x14ac:dyDescent="0.3">
      <c r="A1036" s="1">
        <v>42672</v>
      </c>
      <c r="B1036">
        <v>124988</v>
      </c>
      <c r="C1036">
        <v>113188</v>
      </c>
      <c r="D1036">
        <v>2929</v>
      </c>
      <c r="E1036">
        <v>2016</v>
      </c>
      <c r="F1036">
        <v>10</v>
      </c>
      <c r="G1036" t="s">
        <v>32</v>
      </c>
      <c r="H1036">
        <v>4</v>
      </c>
      <c r="I1036">
        <v>29</v>
      </c>
      <c r="J1036" t="s">
        <v>22</v>
      </c>
      <c r="K1036">
        <v>43</v>
      </c>
      <c r="L1036">
        <v>11800</v>
      </c>
      <c r="M1036">
        <v>4</v>
      </c>
      <c r="N1036">
        <v>9</v>
      </c>
      <c r="O1036">
        <v>9</v>
      </c>
    </row>
    <row r="1037" spans="1:15" x14ac:dyDescent="0.3">
      <c r="A1037" s="1">
        <v>42673</v>
      </c>
      <c r="B1037">
        <v>67521</v>
      </c>
      <c r="C1037">
        <v>61234</v>
      </c>
      <c r="D1037">
        <v>1582</v>
      </c>
      <c r="E1037">
        <v>2016</v>
      </c>
      <c r="F1037">
        <v>10</v>
      </c>
      <c r="G1037" t="s">
        <v>32</v>
      </c>
      <c r="H1037">
        <v>4</v>
      </c>
      <c r="I1037">
        <v>30</v>
      </c>
      <c r="J1037" t="s">
        <v>23</v>
      </c>
      <c r="K1037">
        <v>43</v>
      </c>
      <c r="L1037">
        <v>6287</v>
      </c>
      <c r="M1037">
        <v>4</v>
      </c>
      <c r="N1037">
        <v>9</v>
      </c>
      <c r="O1037">
        <v>9</v>
      </c>
    </row>
    <row r="1038" spans="1:15" x14ac:dyDescent="0.3">
      <c r="A1038" s="1">
        <v>42674</v>
      </c>
      <c r="B1038">
        <v>70021</v>
      </c>
      <c r="C1038">
        <v>62316</v>
      </c>
      <c r="D1038">
        <v>1639</v>
      </c>
      <c r="E1038">
        <v>2016</v>
      </c>
      <c r="F1038">
        <v>10</v>
      </c>
      <c r="G1038" t="s">
        <v>32</v>
      </c>
      <c r="H1038">
        <v>4</v>
      </c>
      <c r="I1038">
        <v>31</v>
      </c>
      <c r="J1038" t="s">
        <v>16</v>
      </c>
      <c r="K1038">
        <v>43</v>
      </c>
      <c r="L1038">
        <v>7704</v>
      </c>
      <c r="M1038">
        <v>5</v>
      </c>
      <c r="N1038">
        <v>11</v>
      </c>
      <c r="O1038">
        <v>11</v>
      </c>
    </row>
    <row r="1039" spans="1:15" x14ac:dyDescent="0.3">
      <c r="A1039" s="1">
        <v>42675</v>
      </c>
      <c r="B1039">
        <v>126954</v>
      </c>
      <c r="C1039">
        <v>110699</v>
      </c>
      <c r="D1039">
        <v>2971</v>
      </c>
      <c r="E1039">
        <v>2016</v>
      </c>
      <c r="F1039">
        <v>11</v>
      </c>
      <c r="G1039" t="s">
        <v>33</v>
      </c>
      <c r="H1039">
        <v>4</v>
      </c>
      <c r="I1039">
        <v>1</v>
      </c>
      <c r="J1039" t="s">
        <v>17</v>
      </c>
      <c r="K1039">
        <v>43</v>
      </c>
      <c r="L1039">
        <v>16255</v>
      </c>
      <c r="M1039">
        <v>5</v>
      </c>
      <c r="N1039">
        <v>13</v>
      </c>
      <c r="O1039">
        <v>13</v>
      </c>
    </row>
    <row r="1040" spans="1:15" x14ac:dyDescent="0.3">
      <c r="A1040" s="1">
        <v>42676</v>
      </c>
      <c r="B1040">
        <v>97558</v>
      </c>
      <c r="C1040">
        <v>86204</v>
      </c>
      <c r="D1040">
        <v>2284</v>
      </c>
      <c r="E1040">
        <v>2016</v>
      </c>
      <c r="F1040">
        <v>11</v>
      </c>
      <c r="G1040" t="s">
        <v>33</v>
      </c>
      <c r="H1040">
        <v>4</v>
      </c>
      <c r="I1040">
        <v>2</v>
      </c>
      <c r="J1040" t="s">
        <v>19</v>
      </c>
      <c r="K1040">
        <v>43</v>
      </c>
      <c r="L1040">
        <v>11354</v>
      </c>
      <c r="M1040">
        <v>5</v>
      </c>
      <c r="N1040">
        <v>12</v>
      </c>
      <c r="O1040">
        <v>12</v>
      </c>
    </row>
    <row r="1041" spans="1:15" x14ac:dyDescent="0.3">
      <c r="A1041" s="1">
        <v>42677</v>
      </c>
      <c r="B1041">
        <v>97039</v>
      </c>
      <c r="C1041">
        <v>89413</v>
      </c>
      <c r="D1041">
        <v>2266</v>
      </c>
      <c r="E1041">
        <v>2016</v>
      </c>
      <c r="F1041">
        <v>11</v>
      </c>
      <c r="G1041" t="s">
        <v>33</v>
      </c>
      <c r="H1041">
        <v>4</v>
      </c>
      <c r="I1041">
        <v>3</v>
      </c>
      <c r="J1041" t="s">
        <v>20</v>
      </c>
      <c r="K1041">
        <v>43</v>
      </c>
      <c r="L1041">
        <v>7626</v>
      </c>
      <c r="M1041">
        <v>3</v>
      </c>
      <c r="N1041">
        <v>8</v>
      </c>
      <c r="O1041">
        <v>8</v>
      </c>
    </row>
    <row r="1042" spans="1:15" x14ac:dyDescent="0.3">
      <c r="A1042" s="1">
        <v>42678</v>
      </c>
      <c r="B1042">
        <v>168349</v>
      </c>
      <c r="C1042">
        <v>156676</v>
      </c>
      <c r="D1042">
        <v>3938</v>
      </c>
      <c r="E1042">
        <v>2016</v>
      </c>
      <c r="F1042">
        <v>11</v>
      </c>
      <c r="G1042" t="s">
        <v>33</v>
      </c>
      <c r="H1042">
        <v>4</v>
      </c>
      <c r="I1042">
        <v>4</v>
      </c>
      <c r="J1042" t="s">
        <v>21</v>
      </c>
      <c r="K1042">
        <v>43</v>
      </c>
      <c r="L1042">
        <v>11674</v>
      </c>
      <c r="M1042">
        <v>3</v>
      </c>
      <c r="N1042">
        <v>7</v>
      </c>
      <c r="O1042">
        <v>7</v>
      </c>
    </row>
    <row r="1043" spans="1:15" x14ac:dyDescent="0.3">
      <c r="A1043" s="1">
        <v>42679</v>
      </c>
      <c r="B1043">
        <v>202017</v>
      </c>
      <c r="C1043">
        <v>189395</v>
      </c>
      <c r="D1043">
        <v>4720</v>
      </c>
      <c r="E1043">
        <v>2016</v>
      </c>
      <c r="F1043">
        <v>11</v>
      </c>
      <c r="G1043" t="s">
        <v>33</v>
      </c>
      <c r="H1043">
        <v>4</v>
      </c>
      <c r="I1043">
        <v>5</v>
      </c>
      <c r="J1043" t="s">
        <v>22</v>
      </c>
      <c r="K1043">
        <v>43</v>
      </c>
      <c r="L1043">
        <v>12623</v>
      </c>
      <c r="M1043">
        <v>3</v>
      </c>
      <c r="N1043">
        <v>6</v>
      </c>
      <c r="O1043">
        <v>6</v>
      </c>
    </row>
    <row r="1044" spans="1:15" x14ac:dyDescent="0.3">
      <c r="A1044" s="1">
        <v>42680</v>
      </c>
      <c r="B1044">
        <v>108459</v>
      </c>
      <c r="C1044">
        <v>102250</v>
      </c>
      <c r="D1044">
        <v>2537</v>
      </c>
      <c r="E1044">
        <v>2016</v>
      </c>
      <c r="F1044">
        <v>11</v>
      </c>
      <c r="G1044" t="s">
        <v>33</v>
      </c>
      <c r="H1044">
        <v>4</v>
      </c>
      <c r="I1044">
        <v>6</v>
      </c>
      <c r="J1044" t="s">
        <v>23</v>
      </c>
      <c r="K1044">
        <v>43</v>
      </c>
      <c r="L1044">
        <v>6209</v>
      </c>
      <c r="M1044">
        <v>2</v>
      </c>
      <c r="N1044">
        <v>6</v>
      </c>
      <c r="O1044">
        <v>6</v>
      </c>
    </row>
    <row r="1045" spans="1:15" x14ac:dyDescent="0.3">
      <c r="A1045" s="1">
        <v>42681</v>
      </c>
      <c r="B1045">
        <v>112536</v>
      </c>
      <c r="C1045">
        <v>105978</v>
      </c>
      <c r="D1045">
        <v>2621</v>
      </c>
      <c r="E1045">
        <v>2016</v>
      </c>
      <c r="F1045">
        <v>11</v>
      </c>
      <c r="G1045" t="s">
        <v>33</v>
      </c>
      <c r="H1045">
        <v>4</v>
      </c>
      <c r="I1045">
        <v>7</v>
      </c>
      <c r="J1045" t="s">
        <v>16</v>
      </c>
      <c r="K1045">
        <v>43</v>
      </c>
      <c r="L1045">
        <v>6558</v>
      </c>
      <c r="M1045">
        <v>3</v>
      </c>
      <c r="N1045">
        <v>6</v>
      </c>
      <c r="O1045">
        <v>6</v>
      </c>
    </row>
    <row r="1046" spans="1:15" x14ac:dyDescent="0.3">
      <c r="A1046" s="1">
        <v>42682</v>
      </c>
      <c r="B1046">
        <v>100480</v>
      </c>
      <c r="C1046">
        <v>94692</v>
      </c>
      <c r="D1046">
        <v>2341</v>
      </c>
      <c r="E1046">
        <v>2016</v>
      </c>
      <c r="F1046">
        <v>11</v>
      </c>
      <c r="G1046" t="s">
        <v>33</v>
      </c>
      <c r="H1046">
        <v>4</v>
      </c>
      <c r="I1046">
        <v>8</v>
      </c>
      <c r="J1046" t="s">
        <v>17</v>
      </c>
      <c r="K1046">
        <v>43</v>
      </c>
      <c r="L1046">
        <v>5787</v>
      </c>
      <c r="M1046">
        <v>2</v>
      </c>
      <c r="N1046">
        <v>6</v>
      </c>
      <c r="O1046">
        <v>6</v>
      </c>
    </row>
    <row r="1047" spans="1:15" x14ac:dyDescent="0.3">
      <c r="A1047" s="1">
        <v>42683</v>
      </c>
      <c r="B1047">
        <v>81650</v>
      </c>
      <c r="C1047">
        <v>77082</v>
      </c>
      <c r="D1047">
        <v>1901</v>
      </c>
      <c r="E1047">
        <v>2016</v>
      </c>
      <c r="F1047">
        <v>11</v>
      </c>
      <c r="G1047" t="s">
        <v>33</v>
      </c>
      <c r="H1047">
        <v>4</v>
      </c>
      <c r="I1047">
        <v>9</v>
      </c>
      <c r="J1047" t="s">
        <v>19</v>
      </c>
      <c r="K1047">
        <v>43</v>
      </c>
      <c r="L1047">
        <v>4568</v>
      </c>
      <c r="M1047">
        <v>2</v>
      </c>
      <c r="N1047">
        <v>6</v>
      </c>
      <c r="O1047">
        <v>6</v>
      </c>
    </row>
    <row r="1048" spans="1:15" x14ac:dyDescent="0.3">
      <c r="A1048" s="1">
        <v>42684</v>
      </c>
      <c r="B1048">
        <v>71529</v>
      </c>
      <c r="C1048">
        <v>67551</v>
      </c>
      <c r="D1048">
        <v>1666</v>
      </c>
      <c r="E1048">
        <v>2016</v>
      </c>
      <c r="F1048">
        <v>11</v>
      </c>
      <c r="G1048" t="s">
        <v>33</v>
      </c>
      <c r="H1048">
        <v>4</v>
      </c>
      <c r="I1048">
        <v>10</v>
      </c>
      <c r="J1048" t="s">
        <v>20</v>
      </c>
      <c r="K1048">
        <v>43</v>
      </c>
      <c r="L1048">
        <v>3978</v>
      </c>
      <c r="M1048">
        <v>2</v>
      </c>
      <c r="N1048">
        <v>6</v>
      </c>
      <c r="O1048">
        <v>6</v>
      </c>
    </row>
    <row r="1049" spans="1:15" x14ac:dyDescent="0.3">
      <c r="A1049" s="1">
        <v>42685</v>
      </c>
      <c r="B1049">
        <v>160939</v>
      </c>
      <c r="C1049">
        <v>152555</v>
      </c>
      <c r="D1049">
        <v>3748</v>
      </c>
      <c r="E1049">
        <v>2016</v>
      </c>
      <c r="F1049">
        <v>11</v>
      </c>
      <c r="G1049" t="s">
        <v>33</v>
      </c>
      <c r="H1049">
        <v>4</v>
      </c>
      <c r="I1049">
        <v>11</v>
      </c>
      <c r="J1049" t="s">
        <v>21</v>
      </c>
      <c r="K1049">
        <v>43</v>
      </c>
      <c r="L1049">
        <v>8383</v>
      </c>
      <c r="M1049">
        <v>2</v>
      </c>
      <c r="N1049">
        <v>5</v>
      </c>
      <c r="O1049">
        <v>5</v>
      </c>
    </row>
    <row r="1050" spans="1:15" x14ac:dyDescent="0.3">
      <c r="A1050" s="1">
        <v>42686</v>
      </c>
      <c r="B1050">
        <v>164999</v>
      </c>
      <c r="C1050">
        <v>156263</v>
      </c>
      <c r="D1050">
        <v>3843</v>
      </c>
      <c r="E1050">
        <v>2016</v>
      </c>
      <c r="F1050">
        <v>11</v>
      </c>
      <c r="G1050" t="s">
        <v>33</v>
      </c>
      <c r="H1050">
        <v>4</v>
      </c>
      <c r="I1050">
        <v>12</v>
      </c>
      <c r="J1050" t="s">
        <v>22</v>
      </c>
      <c r="K1050">
        <v>43</v>
      </c>
      <c r="L1050">
        <v>8736</v>
      </c>
      <c r="M1050">
        <v>2</v>
      </c>
      <c r="N1050">
        <v>5</v>
      </c>
      <c r="O1050">
        <v>5</v>
      </c>
    </row>
    <row r="1051" spans="1:15" x14ac:dyDescent="0.3">
      <c r="A1051" s="1">
        <v>42687</v>
      </c>
      <c r="B1051">
        <v>97947</v>
      </c>
      <c r="C1051">
        <v>93113</v>
      </c>
      <c r="D1051">
        <v>2281</v>
      </c>
      <c r="E1051">
        <v>2016</v>
      </c>
      <c r="F1051">
        <v>11</v>
      </c>
      <c r="G1051" t="s">
        <v>33</v>
      </c>
      <c r="H1051">
        <v>4</v>
      </c>
      <c r="I1051">
        <v>13</v>
      </c>
      <c r="J1051" t="s">
        <v>23</v>
      </c>
      <c r="K1051">
        <v>43</v>
      </c>
      <c r="L1051">
        <v>4834</v>
      </c>
      <c r="M1051">
        <v>2</v>
      </c>
      <c r="N1051">
        <v>5</v>
      </c>
      <c r="O1051">
        <v>5</v>
      </c>
    </row>
    <row r="1052" spans="1:15" x14ac:dyDescent="0.3">
      <c r="A1052" s="1">
        <v>42688</v>
      </c>
      <c r="B1052">
        <v>87834</v>
      </c>
      <c r="C1052">
        <v>83068</v>
      </c>
      <c r="D1052">
        <v>2046</v>
      </c>
      <c r="E1052">
        <v>2016</v>
      </c>
      <c r="F1052">
        <v>11</v>
      </c>
      <c r="G1052" t="s">
        <v>33</v>
      </c>
      <c r="H1052">
        <v>4</v>
      </c>
      <c r="I1052">
        <v>14</v>
      </c>
      <c r="J1052" t="s">
        <v>16</v>
      </c>
      <c r="K1052">
        <v>43</v>
      </c>
      <c r="L1052">
        <v>4766</v>
      </c>
      <c r="M1052">
        <v>2</v>
      </c>
      <c r="N1052">
        <v>5</v>
      </c>
      <c r="O1052">
        <v>5</v>
      </c>
    </row>
    <row r="1053" spans="1:15" x14ac:dyDescent="0.3">
      <c r="A1053" s="1">
        <v>42689</v>
      </c>
      <c r="B1053">
        <v>95509</v>
      </c>
      <c r="C1053">
        <v>88104</v>
      </c>
      <c r="D1053">
        <v>2181</v>
      </c>
      <c r="E1053">
        <v>2016</v>
      </c>
      <c r="F1053">
        <v>11</v>
      </c>
      <c r="G1053" t="s">
        <v>33</v>
      </c>
      <c r="H1053">
        <v>4</v>
      </c>
      <c r="I1053">
        <v>15</v>
      </c>
      <c r="J1053" t="s">
        <v>17</v>
      </c>
      <c r="K1053">
        <v>44</v>
      </c>
      <c r="L1053">
        <v>7405</v>
      </c>
      <c r="M1053">
        <v>3</v>
      </c>
      <c r="N1053">
        <v>8</v>
      </c>
      <c r="O1053">
        <v>8</v>
      </c>
    </row>
    <row r="1054" spans="1:15" x14ac:dyDescent="0.3">
      <c r="A1054" s="1">
        <v>42690</v>
      </c>
      <c r="B1054">
        <v>77230</v>
      </c>
      <c r="C1054">
        <v>71429</v>
      </c>
      <c r="D1054">
        <v>1763</v>
      </c>
      <c r="E1054">
        <v>2016</v>
      </c>
      <c r="F1054">
        <v>11</v>
      </c>
      <c r="G1054" t="s">
        <v>33</v>
      </c>
      <c r="H1054">
        <v>4</v>
      </c>
      <c r="I1054">
        <v>16</v>
      </c>
      <c r="J1054" t="s">
        <v>19</v>
      </c>
      <c r="K1054">
        <v>44</v>
      </c>
      <c r="L1054">
        <v>5801</v>
      </c>
      <c r="M1054">
        <v>3</v>
      </c>
      <c r="N1054">
        <v>8</v>
      </c>
      <c r="O1054">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1F0AB-E9DF-49DD-A84D-F5CF02841A51}">
  <dimension ref="A1:W227"/>
  <sheetViews>
    <sheetView topLeftCell="B52" workbookViewId="0">
      <selection activeCell="L6" sqref="L6"/>
    </sheetView>
  </sheetViews>
  <sheetFormatPr defaultRowHeight="15.6" x14ac:dyDescent="0.3"/>
  <cols>
    <col min="1" max="1" width="14" bestFit="1" customWidth="1"/>
    <col min="2" max="2" width="28.09765625" bestFit="1" customWidth="1"/>
    <col min="3" max="3" width="19" bestFit="1" customWidth="1"/>
    <col min="5" max="5" width="29.3984375" bestFit="1" customWidth="1"/>
    <col min="7" max="7" width="12.5" bestFit="1" customWidth="1"/>
    <col min="10" max="10" width="15.8984375" bestFit="1" customWidth="1"/>
    <col min="11" max="13" width="18.59765625" bestFit="1" customWidth="1"/>
    <col min="14" max="14" width="15.8984375" bestFit="1" customWidth="1"/>
    <col min="16" max="16" width="20.19921875" customWidth="1"/>
    <col min="18" max="18" width="40.69921875" bestFit="1" customWidth="1"/>
    <col min="20" max="20" width="18.09765625" customWidth="1"/>
    <col min="21" max="21" width="15.3984375" customWidth="1"/>
    <col min="22" max="22" width="13.796875" customWidth="1"/>
  </cols>
  <sheetData>
    <row r="1" spans="1:23" x14ac:dyDescent="0.3">
      <c r="A1" s="2" t="s">
        <v>34</v>
      </c>
      <c r="K1" s="2" t="s">
        <v>34</v>
      </c>
    </row>
    <row r="2" spans="1:23" x14ac:dyDescent="0.3">
      <c r="A2" t="s">
        <v>36</v>
      </c>
      <c r="C2" t="s">
        <v>37</v>
      </c>
      <c r="E2" t="s">
        <v>39</v>
      </c>
      <c r="G2" t="s">
        <v>41</v>
      </c>
      <c r="K2" t="s">
        <v>46</v>
      </c>
      <c r="T2" t="s">
        <v>63</v>
      </c>
    </row>
    <row r="3" spans="1:23" ht="31.2" x14ac:dyDescent="0.3">
      <c r="A3" s="7" t="s">
        <v>35</v>
      </c>
      <c r="C3" t="s">
        <v>38</v>
      </c>
      <c r="E3" s="7" t="s">
        <v>40</v>
      </c>
      <c r="G3" s="7" t="s">
        <v>42</v>
      </c>
      <c r="K3" s="7" t="s">
        <v>45</v>
      </c>
      <c r="M3" s="7" t="s">
        <v>45</v>
      </c>
      <c r="N3" s="7" t="s">
        <v>35</v>
      </c>
      <c r="P3" s="7" t="s">
        <v>48</v>
      </c>
      <c r="R3" s="7" t="s">
        <v>49</v>
      </c>
      <c r="T3" s="9" t="s">
        <v>50</v>
      </c>
      <c r="U3" s="11" t="s">
        <v>51</v>
      </c>
      <c r="V3" s="11" t="s">
        <v>52</v>
      </c>
      <c r="W3" s="11" t="s">
        <v>53</v>
      </c>
    </row>
    <row r="4" spans="1:23" x14ac:dyDescent="0.3">
      <c r="A4" s="7">
        <v>186909824</v>
      </c>
      <c r="C4">
        <v>5279872</v>
      </c>
      <c r="E4" s="7">
        <v>37.012345679012348</v>
      </c>
      <c r="G4" s="7">
        <v>846678</v>
      </c>
      <c r="K4" s="7">
        <v>-7116291</v>
      </c>
      <c r="M4" s="7">
        <v>-7116291</v>
      </c>
      <c r="N4" s="7">
        <v>186909824</v>
      </c>
      <c r="P4" s="8">
        <f>GETPIVOTDATA("Sum of gross_profit",$M$3)/GETPIVOTDATA("Sum of sales",$M$3)</f>
        <v>-3.807339201175429E-2</v>
      </c>
      <c r="R4" s="7">
        <v>-0.88983855650522314</v>
      </c>
      <c r="T4" s="13">
        <v>41671</v>
      </c>
      <c r="U4" s="10" t="s">
        <v>54</v>
      </c>
      <c r="V4" s="10" t="s">
        <v>55</v>
      </c>
      <c r="W4" s="11" t="s">
        <v>56</v>
      </c>
    </row>
    <row r="5" spans="1:23" x14ac:dyDescent="0.3">
      <c r="T5" s="13">
        <v>41852</v>
      </c>
      <c r="U5" s="10" t="s">
        <v>57</v>
      </c>
      <c r="V5" s="10" t="s">
        <v>58</v>
      </c>
      <c r="W5" s="11" t="s">
        <v>59</v>
      </c>
    </row>
    <row r="6" spans="1:23" x14ac:dyDescent="0.3">
      <c r="A6" s="2" t="s">
        <v>65</v>
      </c>
      <c r="T6" s="13">
        <v>42156</v>
      </c>
      <c r="U6" s="10" t="s">
        <v>60</v>
      </c>
      <c r="V6" s="10" t="s">
        <v>61</v>
      </c>
      <c r="W6" s="14" t="s">
        <v>62</v>
      </c>
    </row>
    <row r="7" spans="1:23" x14ac:dyDescent="0.3">
      <c r="A7" s="3" t="s">
        <v>43</v>
      </c>
      <c r="B7" t="s">
        <v>35</v>
      </c>
    </row>
    <row r="8" spans="1:23" x14ac:dyDescent="0.3">
      <c r="A8" s="4">
        <v>2013</v>
      </c>
      <c r="B8">
        <v>524283</v>
      </c>
    </row>
    <row r="9" spans="1:23" x14ac:dyDescent="0.3">
      <c r="A9" s="5" t="s">
        <v>15</v>
      </c>
      <c r="B9">
        <v>524283</v>
      </c>
      <c r="J9" s="7" t="s">
        <v>35</v>
      </c>
    </row>
    <row r="10" spans="1:23" x14ac:dyDescent="0.3">
      <c r="A10" s="4">
        <v>2014</v>
      </c>
      <c r="B10">
        <v>75414979</v>
      </c>
      <c r="J10" s="7">
        <v>186909824</v>
      </c>
    </row>
    <row r="11" spans="1:23" x14ac:dyDescent="0.3">
      <c r="A11" s="5" t="s">
        <v>18</v>
      </c>
      <c r="B11">
        <v>4008177</v>
      </c>
    </row>
    <row r="12" spans="1:23" x14ac:dyDescent="0.3">
      <c r="A12" s="5" t="s">
        <v>24</v>
      </c>
      <c r="B12">
        <v>5780490</v>
      </c>
    </row>
    <row r="13" spans="1:23" x14ac:dyDescent="0.3">
      <c r="A13" s="5" t="s">
        <v>25</v>
      </c>
      <c r="B13">
        <v>8279517</v>
      </c>
    </row>
    <row r="14" spans="1:23" x14ac:dyDescent="0.3">
      <c r="A14" s="5" t="s">
        <v>26</v>
      </c>
      <c r="B14">
        <v>6435744</v>
      </c>
    </row>
    <row r="15" spans="1:23" x14ac:dyDescent="0.3">
      <c r="A15" s="5" t="s">
        <v>27</v>
      </c>
      <c r="B15">
        <v>7694907</v>
      </c>
    </row>
    <row r="16" spans="1:23" x14ac:dyDescent="0.3">
      <c r="A16" s="5" t="s">
        <v>28</v>
      </c>
      <c r="B16">
        <v>6456946</v>
      </c>
    </row>
    <row r="17" spans="1:2" x14ac:dyDescent="0.3">
      <c r="A17" s="5" t="s">
        <v>29</v>
      </c>
      <c r="B17">
        <v>4933711</v>
      </c>
    </row>
    <row r="18" spans="1:2" x14ac:dyDescent="0.3">
      <c r="A18" s="5" t="s">
        <v>30</v>
      </c>
      <c r="B18">
        <v>10010378</v>
      </c>
    </row>
    <row r="19" spans="1:2" x14ac:dyDescent="0.3">
      <c r="A19" s="5" t="s">
        <v>31</v>
      </c>
      <c r="B19">
        <v>7643452</v>
      </c>
    </row>
    <row r="20" spans="1:2" x14ac:dyDescent="0.3">
      <c r="A20" s="5" t="s">
        <v>32</v>
      </c>
      <c r="B20">
        <v>5924685</v>
      </c>
    </row>
    <row r="21" spans="1:2" x14ac:dyDescent="0.3">
      <c r="A21" s="5" t="s">
        <v>33</v>
      </c>
      <c r="B21">
        <v>2631353</v>
      </c>
    </row>
    <row r="22" spans="1:2" x14ac:dyDescent="0.3">
      <c r="A22" s="5" t="s">
        <v>15</v>
      </c>
      <c r="B22">
        <v>5615619</v>
      </c>
    </row>
    <row r="23" spans="1:2" x14ac:dyDescent="0.3">
      <c r="A23" s="4">
        <v>2015</v>
      </c>
      <c r="B23">
        <v>64017591</v>
      </c>
    </row>
    <row r="24" spans="1:2" x14ac:dyDescent="0.3">
      <c r="A24" s="5" t="s">
        <v>18</v>
      </c>
      <c r="B24">
        <v>3696189</v>
      </c>
    </row>
    <row r="25" spans="1:2" x14ac:dyDescent="0.3">
      <c r="A25" s="5" t="s">
        <v>24</v>
      </c>
      <c r="B25">
        <v>4901504</v>
      </c>
    </row>
    <row r="26" spans="1:2" x14ac:dyDescent="0.3">
      <c r="A26" s="5" t="s">
        <v>25</v>
      </c>
      <c r="B26">
        <v>5269354</v>
      </c>
    </row>
    <row r="27" spans="1:2" x14ac:dyDescent="0.3">
      <c r="A27" s="5" t="s">
        <v>26</v>
      </c>
      <c r="B27">
        <v>5963992</v>
      </c>
    </row>
    <row r="28" spans="1:2" x14ac:dyDescent="0.3">
      <c r="A28" s="5" t="s">
        <v>27</v>
      </c>
      <c r="B28">
        <v>8384366</v>
      </c>
    </row>
    <row r="29" spans="1:2" x14ac:dyDescent="0.3">
      <c r="A29" s="5" t="s">
        <v>28</v>
      </c>
      <c r="B29">
        <v>5332109</v>
      </c>
    </row>
    <row r="30" spans="1:2" x14ac:dyDescent="0.3">
      <c r="A30" s="5" t="s">
        <v>29</v>
      </c>
      <c r="B30">
        <v>3677694</v>
      </c>
    </row>
    <row r="31" spans="1:2" x14ac:dyDescent="0.3">
      <c r="A31" s="5" t="s">
        <v>30</v>
      </c>
      <c r="B31">
        <v>3934668</v>
      </c>
    </row>
    <row r="32" spans="1:2" x14ac:dyDescent="0.3">
      <c r="A32" s="5" t="s">
        <v>31</v>
      </c>
      <c r="B32">
        <v>4669902</v>
      </c>
    </row>
    <row r="33" spans="1:2" x14ac:dyDescent="0.3">
      <c r="A33" s="5" t="s">
        <v>32</v>
      </c>
      <c r="B33">
        <v>4828973</v>
      </c>
    </row>
    <row r="34" spans="1:2" x14ac:dyDescent="0.3">
      <c r="A34" s="5" t="s">
        <v>33</v>
      </c>
      <c r="B34">
        <v>6538150</v>
      </c>
    </row>
    <row r="35" spans="1:2" x14ac:dyDescent="0.3">
      <c r="A35" s="5" t="s">
        <v>15</v>
      </c>
      <c r="B35">
        <v>6820690</v>
      </c>
    </row>
    <row r="36" spans="1:2" x14ac:dyDescent="0.3">
      <c r="A36" s="4">
        <v>2016</v>
      </c>
      <c r="B36">
        <v>46952971</v>
      </c>
    </row>
    <row r="37" spans="1:2" x14ac:dyDescent="0.3">
      <c r="A37" s="5" t="s">
        <v>18</v>
      </c>
      <c r="B37">
        <v>5403089</v>
      </c>
    </row>
    <row r="38" spans="1:2" x14ac:dyDescent="0.3">
      <c r="A38" s="5" t="s">
        <v>24</v>
      </c>
      <c r="B38">
        <v>4891882</v>
      </c>
    </row>
    <row r="39" spans="1:2" x14ac:dyDescent="0.3">
      <c r="A39" s="5" t="s">
        <v>25</v>
      </c>
      <c r="B39">
        <v>2951856</v>
      </c>
    </row>
    <row r="40" spans="1:2" x14ac:dyDescent="0.3">
      <c r="A40" s="5" t="s">
        <v>26</v>
      </c>
      <c r="B40">
        <v>6656879</v>
      </c>
    </row>
    <row r="41" spans="1:2" x14ac:dyDescent="0.3">
      <c r="A41" s="5" t="s">
        <v>27</v>
      </c>
      <c r="B41">
        <v>5170232</v>
      </c>
    </row>
    <row r="42" spans="1:2" x14ac:dyDescent="0.3">
      <c r="A42" s="5" t="s">
        <v>28</v>
      </c>
      <c r="B42">
        <v>6771135</v>
      </c>
    </row>
    <row r="43" spans="1:2" x14ac:dyDescent="0.3">
      <c r="A43" s="5" t="s">
        <v>29</v>
      </c>
      <c r="B43">
        <v>3324827</v>
      </c>
    </row>
    <row r="44" spans="1:2" x14ac:dyDescent="0.3">
      <c r="A44" s="5" t="s">
        <v>30</v>
      </c>
      <c r="B44">
        <v>4343329</v>
      </c>
    </row>
    <row r="45" spans="1:2" x14ac:dyDescent="0.3">
      <c r="A45" s="5" t="s">
        <v>31</v>
      </c>
      <c r="B45">
        <v>3259542</v>
      </c>
    </row>
    <row r="46" spans="1:2" x14ac:dyDescent="0.3">
      <c r="A46" s="5" t="s">
        <v>32</v>
      </c>
      <c r="B46">
        <v>2329171</v>
      </c>
    </row>
    <row r="47" spans="1:2" x14ac:dyDescent="0.3">
      <c r="A47" s="5" t="s">
        <v>33</v>
      </c>
      <c r="B47">
        <v>1851029</v>
      </c>
    </row>
    <row r="48" spans="1:2" x14ac:dyDescent="0.3">
      <c r="A48" s="4" t="s">
        <v>44</v>
      </c>
      <c r="B48">
        <v>186909824</v>
      </c>
    </row>
    <row r="51" spans="1:2" x14ac:dyDescent="0.3">
      <c r="A51" s="3" t="s">
        <v>43</v>
      </c>
      <c r="B51" t="s">
        <v>42</v>
      </c>
    </row>
    <row r="52" spans="1:2" x14ac:dyDescent="0.3">
      <c r="A52" s="4" t="s">
        <v>16</v>
      </c>
      <c r="B52">
        <v>594954</v>
      </c>
    </row>
    <row r="53" spans="1:2" x14ac:dyDescent="0.3">
      <c r="A53" s="4" t="s">
        <v>17</v>
      </c>
      <c r="B53">
        <v>469470</v>
      </c>
    </row>
    <row r="54" spans="1:2" x14ac:dyDescent="0.3">
      <c r="A54" s="4" t="s">
        <v>19</v>
      </c>
      <c r="B54">
        <v>594438</v>
      </c>
    </row>
    <row r="55" spans="1:2" x14ac:dyDescent="0.3">
      <c r="A55" s="4" t="s">
        <v>20</v>
      </c>
      <c r="B55">
        <v>715032</v>
      </c>
    </row>
    <row r="56" spans="1:2" x14ac:dyDescent="0.3">
      <c r="A56" s="4" t="s">
        <v>21</v>
      </c>
      <c r="B56">
        <v>661876</v>
      </c>
    </row>
    <row r="57" spans="1:2" x14ac:dyDescent="0.3">
      <c r="A57" s="4" t="s">
        <v>22</v>
      </c>
      <c r="B57">
        <v>846678</v>
      </c>
    </row>
    <row r="58" spans="1:2" x14ac:dyDescent="0.3">
      <c r="A58" s="4" t="s">
        <v>23</v>
      </c>
      <c r="B58">
        <v>478902</v>
      </c>
    </row>
    <row r="59" spans="1:2" x14ac:dyDescent="0.3">
      <c r="A59" s="4" t="s">
        <v>44</v>
      </c>
      <c r="B59">
        <v>846678</v>
      </c>
    </row>
    <row r="63" spans="1:2" x14ac:dyDescent="0.3">
      <c r="A63" s="3" t="s">
        <v>43</v>
      </c>
      <c r="B63" t="s">
        <v>35</v>
      </c>
    </row>
    <row r="64" spans="1:2" x14ac:dyDescent="0.3">
      <c r="A64" s="6">
        <v>41790</v>
      </c>
      <c r="B64">
        <v>603749</v>
      </c>
    </row>
    <row r="65" spans="1:2" x14ac:dyDescent="0.3">
      <c r="A65" s="6">
        <v>41852</v>
      </c>
      <c r="B65">
        <v>611895</v>
      </c>
    </row>
    <row r="66" spans="1:2" x14ac:dyDescent="0.3">
      <c r="A66" s="6">
        <v>41746</v>
      </c>
      <c r="B66">
        <v>612236</v>
      </c>
    </row>
    <row r="67" spans="1:2" x14ac:dyDescent="0.3">
      <c r="A67" s="6">
        <v>41909</v>
      </c>
      <c r="B67">
        <v>617019</v>
      </c>
    </row>
    <row r="68" spans="1:2" x14ac:dyDescent="0.3">
      <c r="A68" s="6">
        <v>41853</v>
      </c>
      <c r="B68">
        <v>628685</v>
      </c>
    </row>
    <row r="69" spans="1:2" x14ac:dyDescent="0.3">
      <c r="A69" s="6">
        <v>41916</v>
      </c>
      <c r="B69">
        <v>656246</v>
      </c>
    </row>
    <row r="70" spans="1:2" x14ac:dyDescent="0.3">
      <c r="A70" s="6">
        <v>41698</v>
      </c>
      <c r="B70">
        <v>661876</v>
      </c>
    </row>
    <row r="71" spans="1:2" x14ac:dyDescent="0.3">
      <c r="A71" s="6">
        <v>42096</v>
      </c>
      <c r="B71">
        <v>715032</v>
      </c>
    </row>
    <row r="72" spans="1:2" x14ac:dyDescent="0.3">
      <c r="A72" s="6">
        <v>41881</v>
      </c>
      <c r="B72">
        <v>717097</v>
      </c>
    </row>
    <row r="73" spans="1:2" x14ac:dyDescent="0.3">
      <c r="A73" s="6">
        <v>41699</v>
      </c>
      <c r="B73">
        <v>846678</v>
      </c>
    </row>
    <row r="74" spans="1:2" x14ac:dyDescent="0.3">
      <c r="A74" s="6" t="s">
        <v>44</v>
      </c>
      <c r="B74">
        <v>6670513</v>
      </c>
    </row>
    <row r="78" spans="1:2" x14ac:dyDescent="0.3">
      <c r="A78" s="3" t="s">
        <v>43</v>
      </c>
      <c r="B78" t="s">
        <v>40</v>
      </c>
    </row>
    <row r="79" spans="1:2" x14ac:dyDescent="0.3">
      <c r="A79" s="4">
        <v>2013</v>
      </c>
      <c r="B79">
        <v>32.5</v>
      </c>
    </row>
    <row r="80" spans="1:2" x14ac:dyDescent="0.3">
      <c r="A80" s="5" t="s">
        <v>15</v>
      </c>
      <c r="B80">
        <v>32.5</v>
      </c>
    </row>
    <row r="81" spans="1:2" x14ac:dyDescent="0.3">
      <c r="A81" s="4">
        <v>2014</v>
      </c>
      <c r="B81">
        <v>34.4986301369863</v>
      </c>
    </row>
    <row r="82" spans="1:2" x14ac:dyDescent="0.3">
      <c r="A82" s="5" t="s">
        <v>18</v>
      </c>
      <c r="B82">
        <v>33.548387096774192</v>
      </c>
    </row>
    <row r="83" spans="1:2" x14ac:dyDescent="0.3">
      <c r="A83" s="5" t="s">
        <v>24</v>
      </c>
      <c r="B83">
        <v>32.464285714285715</v>
      </c>
    </row>
    <row r="84" spans="1:2" x14ac:dyDescent="0.3">
      <c r="A84" s="5" t="s">
        <v>25</v>
      </c>
      <c r="B84">
        <v>33.322580645161288</v>
      </c>
    </row>
    <row r="85" spans="1:2" x14ac:dyDescent="0.3">
      <c r="A85" s="5" t="s">
        <v>26</v>
      </c>
      <c r="B85">
        <v>33.93333333333333</v>
      </c>
    </row>
    <row r="86" spans="1:2" x14ac:dyDescent="0.3">
      <c r="A86" s="5" t="s">
        <v>27</v>
      </c>
      <c r="B86">
        <v>32.967741935483872</v>
      </c>
    </row>
    <row r="87" spans="1:2" x14ac:dyDescent="0.3">
      <c r="A87" s="5" t="s">
        <v>28</v>
      </c>
      <c r="B87">
        <v>32.866666666666667</v>
      </c>
    </row>
    <row r="88" spans="1:2" x14ac:dyDescent="0.3">
      <c r="A88" s="5" t="s">
        <v>29</v>
      </c>
      <c r="B88">
        <v>34.032258064516128</v>
      </c>
    </row>
    <row r="89" spans="1:2" x14ac:dyDescent="0.3">
      <c r="A89" s="5" t="s">
        <v>30</v>
      </c>
      <c r="B89">
        <v>32.225806451612904</v>
      </c>
    </row>
    <row r="90" spans="1:2" x14ac:dyDescent="0.3">
      <c r="A90" s="5" t="s">
        <v>31</v>
      </c>
      <c r="B90">
        <v>33.266666666666666</v>
      </c>
    </row>
    <row r="91" spans="1:2" x14ac:dyDescent="0.3">
      <c r="A91" s="5" t="s">
        <v>32</v>
      </c>
      <c r="B91">
        <v>36.032258064516128</v>
      </c>
    </row>
    <row r="92" spans="1:2" x14ac:dyDescent="0.3">
      <c r="A92" s="5" t="s">
        <v>33</v>
      </c>
      <c r="B92">
        <v>39.466666666666669</v>
      </c>
    </row>
    <row r="93" spans="1:2" x14ac:dyDescent="0.3">
      <c r="A93" s="5" t="s">
        <v>15</v>
      </c>
      <c r="B93">
        <v>39.70967741935484</v>
      </c>
    </row>
    <row r="94" spans="1:2" x14ac:dyDescent="0.3">
      <c r="A94" s="4">
        <v>2015</v>
      </c>
      <c r="B94">
        <v>38.323287671232876</v>
      </c>
    </row>
    <row r="95" spans="1:2" x14ac:dyDescent="0.3">
      <c r="A95" s="5" t="s">
        <v>18</v>
      </c>
      <c r="B95">
        <v>40.612903225806448</v>
      </c>
    </row>
    <row r="96" spans="1:2" x14ac:dyDescent="0.3">
      <c r="A96" s="5" t="s">
        <v>24</v>
      </c>
      <c r="B96">
        <v>39.035714285714285</v>
      </c>
    </row>
    <row r="97" spans="1:2" x14ac:dyDescent="0.3">
      <c r="A97" s="5" t="s">
        <v>25</v>
      </c>
      <c r="B97">
        <v>39.548387096774192</v>
      </c>
    </row>
    <row r="98" spans="1:2" x14ac:dyDescent="0.3">
      <c r="A98" s="5" t="s">
        <v>26</v>
      </c>
      <c r="B98">
        <v>40.133333333333333</v>
      </c>
    </row>
    <row r="99" spans="1:2" x14ac:dyDescent="0.3">
      <c r="A99" s="5" t="s">
        <v>27</v>
      </c>
      <c r="B99">
        <v>38.354838709677416</v>
      </c>
    </row>
    <row r="100" spans="1:2" x14ac:dyDescent="0.3">
      <c r="A100" s="5" t="s">
        <v>28</v>
      </c>
      <c r="B100">
        <v>40.133333333333333</v>
      </c>
    </row>
    <row r="101" spans="1:2" x14ac:dyDescent="0.3">
      <c r="A101" s="5" t="s">
        <v>29</v>
      </c>
      <c r="B101">
        <v>38.838709677419352</v>
      </c>
    </row>
    <row r="102" spans="1:2" x14ac:dyDescent="0.3">
      <c r="A102" s="5" t="s">
        <v>30</v>
      </c>
      <c r="B102">
        <v>37.516129032258064</v>
      </c>
    </row>
    <row r="103" spans="1:2" x14ac:dyDescent="0.3">
      <c r="A103" s="5" t="s">
        <v>31</v>
      </c>
      <c r="B103">
        <v>36.266666666666666</v>
      </c>
    </row>
    <row r="104" spans="1:2" x14ac:dyDescent="0.3">
      <c r="A104" s="5" t="s">
        <v>32</v>
      </c>
      <c r="B104">
        <v>37.12903225806452</v>
      </c>
    </row>
    <row r="105" spans="1:2" x14ac:dyDescent="0.3">
      <c r="A105" s="5" t="s">
        <v>33</v>
      </c>
      <c r="B105">
        <v>35.533333333333331</v>
      </c>
    </row>
    <row r="106" spans="1:2" x14ac:dyDescent="0.3">
      <c r="A106" s="5" t="s">
        <v>15</v>
      </c>
      <c r="B106">
        <v>36.806451612903224</v>
      </c>
    </row>
    <row r="107" spans="1:2" x14ac:dyDescent="0.3">
      <c r="A107" s="4">
        <v>2016</v>
      </c>
      <c r="B107">
        <v>38.40809968847352</v>
      </c>
    </row>
    <row r="108" spans="1:2" x14ac:dyDescent="0.3">
      <c r="A108" s="5" t="s">
        <v>18</v>
      </c>
      <c r="B108">
        <v>37.41935483870968</v>
      </c>
    </row>
    <row r="109" spans="1:2" x14ac:dyDescent="0.3">
      <c r="A109" s="5" t="s">
        <v>24</v>
      </c>
      <c r="B109">
        <v>38.413793103448278</v>
      </c>
    </row>
    <row r="110" spans="1:2" x14ac:dyDescent="0.3">
      <c r="A110" s="5" t="s">
        <v>25</v>
      </c>
      <c r="B110">
        <v>40.322580645161288</v>
      </c>
    </row>
    <row r="111" spans="1:2" x14ac:dyDescent="0.3">
      <c r="A111" s="5" t="s">
        <v>26</v>
      </c>
      <c r="B111">
        <v>35.366666666666667</v>
      </c>
    </row>
    <row r="112" spans="1:2" x14ac:dyDescent="0.3">
      <c r="A112" s="5" t="s">
        <v>27</v>
      </c>
      <c r="B112">
        <v>37.903225806451616</v>
      </c>
    </row>
    <row r="113" spans="1:2" x14ac:dyDescent="0.3">
      <c r="A113" s="5" t="s">
        <v>28</v>
      </c>
      <c r="B113">
        <v>34.6</v>
      </c>
    </row>
    <row r="114" spans="1:2" x14ac:dyDescent="0.3">
      <c r="A114" s="5" t="s">
        <v>29</v>
      </c>
      <c r="B114">
        <v>40.258064516129032</v>
      </c>
    </row>
    <row r="115" spans="1:2" x14ac:dyDescent="0.3">
      <c r="A115" s="5" t="s">
        <v>30</v>
      </c>
      <c r="B115">
        <v>36.87096774193548</v>
      </c>
    </row>
    <row r="116" spans="1:2" x14ac:dyDescent="0.3">
      <c r="A116" s="5" t="s">
        <v>31</v>
      </c>
      <c r="B116">
        <v>38.633333333333333</v>
      </c>
    </row>
    <row r="117" spans="1:2" x14ac:dyDescent="0.3">
      <c r="A117" s="5" t="s">
        <v>32</v>
      </c>
      <c r="B117">
        <v>41.645161290322584</v>
      </c>
    </row>
    <row r="118" spans="1:2" x14ac:dyDescent="0.3">
      <c r="A118" s="5" t="s">
        <v>33</v>
      </c>
      <c r="B118">
        <v>43.125</v>
      </c>
    </row>
    <row r="119" spans="1:2" x14ac:dyDescent="0.3">
      <c r="A119" s="4" t="s">
        <v>44</v>
      </c>
      <c r="B119">
        <v>37.012345679012348</v>
      </c>
    </row>
    <row r="124" spans="1:2" x14ac:dyDescent="0.3">
      <c r="A124" s="2" t="s">
        <v>64</v>
      </c>
    </row>
    <row r="125" spans="1:2" x14ac:dyDescent="0.3">
      <c r="A125" s="3" t="s">
        <v>43</v>
      </c>
      <c r="B125" t="s">
        <v>45</v>
      </c>
    </row>
    <row r="126" spans="1:2" x14ac:dyDescent="0.3">
      <c r="A126" s="4">
        <v>2013</v>
      </c>
      <c r="B126">
        <v>-12783</v>
      </c>
    </row>
    <row r="127" spans="1:2" x14ac:dyDescent="0.3">
      <c r="A127" s="5" t="s">
        <v>15</v>
      </c>
      <c r="B127">
        <v>-12783</v>
      </c>
    </row>
    <row r="128" spans="1:2" x14ac:dyDescent="0.3">
      <c r="A128" s="4">
        <v>2014</v>
      </c>
      <c r="B128">
        <v>-2265871</v>
      </c>
    </row>
    <row r="129" spans="1:2" x14ac:dyDescent="0.3">
      <c r="A129" s="5" t="s">
        <v>18</v>
      </c>
      <c r="B129">
        <v>12460</v>
      </c>
    </row>
    <row r="130" spans="1:2" x14ac:dyDescent="0.3">
      <c r="A130" s="5" t="s">
        <v>24</v>
      </c>
      <c r="B130">
        <v>-132992</v>
      </c>
    </row>
    <row r="131" spans="1:2" x14ac:dyDescent="0.3">
      <c r="A131" s="5" t="s">
        <v>25</v>
      </c>
      <c r="B131">
        <v>-136135</v>
      </c>
    </row>
    <row r="132" spans="1:2" x14ac:dyDescent="0.3">
      <c r="A132" s="5" t="s">
        <v>26</v>
      </c>
      <c r="B132">
        <v>-43898</v>
      </c>
    </row>
    <row r="133" spans="1:2" x14ac:dyDescent="0.3">
      <c r="A133" s="5" t="s">
        <v>27</v>
      </c>
      <c r="B133">
        <v>-322334</v>
      </c>
    </row>
    <row r="134" spans="1:2" x14ac:dyDescent="0.3">
      <c r="A134" s="5" t="s">
        <v>28</v>
      </c>
      <c r="B134">
        <v>-188902</v>
      </c>
    </row>
    <row r="135" spans="1:2" x14ac:dyDescent="0.3">
      <c r="A135" s="5" t="s">
        <v>29</v>
      </c>
      <c r="B135">
        <v>-71182</v>
      </c>
    </row>
    <row r="136" spans="1:2" x14ac:dyDescent="0.3">
      <c r="A136" s="5" t="s">
        <v>30</v>
      </c>
      <c r="B136">
        <v>-514056</v>
      </c>
    </row>
    <row r="137" spans="1:2" x14ac:dyDescent="0.3">
      <c r="A137" s="5" t="s">
        <v>31</v>
      </c>
      <c r="B137">
        <v>-550106</v>
      </c>
    </row>
    <row r="138" spans="1:2" x14ac:dyDescent="0.3">
      <c r="A138" s="5" t="s">
        <v>32</v>
      </c>
      <c r="B138">
        <v>-113778</v>
      </c>
    </row>
    <row r="139" spans="1:2" x14ac:dyDescent="0.3">
      <c r="A139" s="5" t="s">
        <v>33</v>
      </c>
      <c r="B139">
        <v>114228</v>
      </c>
    </row>
    <row r="140" spans="1:2" x14ac:dyDescent="0.3">
      <c r="A140" s="5" t="s">
        <v>15</v>
      </c>
      <c r="B140">
        <v>-319176</v>
      </c>
    </row>
    <row r="141" spans="1:2" x14ac:dyDescent="0.3">
      <c r="A141" s="4">
        <v>2015</v>
      </c>
      <c r="B141">
        <v>-3899613</v>
      </c>
    </row>
    <row r="142" spans="1:2" x14ac:dyDescent="0.3">
      <c r="A142" s="5" t="s">
        <v>18</v>
      </c>
      <c r="B142">
        <v>-155067</v>
      </c>
    </row>
    <row r="143" spans="1:2" x14ac:dyDescent="0.3">
      <c r="A143" s="5" t="s">
        <v>24</v>
      </c>
      <c r="B143">
        <v>-250252</v>
      </c>
    </row>
    <row r="144" spans="1:2" x14ac:dyDescent="0.3">
      <c r="A144" s="5" t="s">
        <v>25</v>
      </c>
      <c r="B144">
        <v>-330275</v>
      </c>
    </row>
    <row r="145" spans="1:2" x14ac:dyDescent="0.3">
      <c r="A145" s="5" t="s">
        <v>26</v>
      </c>
      <c r="B145">
        <v>-322679</v>
      </c>
    </row>
    <row r="146" spans="1:2" x14ac:dyDescent="0.3">
      <c r="A146" s="5" t="s">
        <v>27</v>
      </c>
      <c r="B146">
        <v>-589336</v>
      </c>
    </row>
    <row r="147" spans="1:2" x14ac:dyDescent="0.3">
      <c r="A147" s="5" t="s">
        <v>28</v>
      </c>
      <c r="B147">
        <v>-188818</v>
      </c>
    </row>
    <row r="148" spans="1:2" x14ac:dyDescent="0.3">
      <c r="A148" s="5" t="s">
        <v>29</v>
      </c>
      <c r="B148">
        <v>-151496</v>
      </c>
    </row>
    <row r="149" spans="1:2" x14ac:dyDescent="0.3">
      <c r="A149" s="5" t="s">
        <v>30</v>
      </c>
      <c r="B149">
        <v>-276260</v>
      </c>
    </row>
    <row r="150" spans="1:2" x14ac:dyDescent="0.3">
      <c r="A150" s="5" t="s">
        <v>31</v>
      </c>
      <c r="B150">
        <v>-354595</v>
      </c>
    </row>
    <row r="151" spans="1:2" x14ac:dyDescent="0.3">
      <c r="A151" s="5" t="s">
        <v>32</v>
      </c>
      <c r="B151">
        <v>-346520</v>
      </c>
    </row>
    <row r="152" spans="1:2" x14ac:dyDescent="0.3">
      <c r="A152" s="5" t="s">
        <v>33</v>
      </c>
      <c r="B152">
        <v>-600685</v>
      </c>
    </row>
    <row r="153" spans="1:2" x14ac:dyDescent="0.3">
      <c r="A153" s="5" t="s">
        <v>15</v>
      </c>
      <c r="B153">
        <v>-333630</v>
      </c>
    </row>
    <row r="154" spans="1:2" x14ac:dyDescent="0.3">
      <c r="A154" s="4">
        <v>2016</v>
      </c>
      <c r="B154">
        <v>-938024</v>
      </c>
    </row>
    <row r="155" spans="1:2" x14ac:dyDescent="0.3">
      <c r="A155" s="5" t="s">
        <v>18</v>
      </c>
      <c r="B155">
        <v>-254255</v>
      </c>
    </row>
    <row r="156" spans="1:2" x14ac:dyDescent="0.3">
      <c r="A156" s="5" t="s">
        <v>24</v>
      </c>
      <c r="B156">
        <v>2580</v>
      </c>
    </row>
    <row r="157" spans="1:2" x14ac:dyDescent="0.3">
      <c r="A157" s="5" t="s">
        <v>25</v>
      </c>
      <c r="B157">
        <v>34051</v>
      </c>
    </row>
    <row r="158" spans="1:2" x14ac:dyDescent="0.3">
      <c r="A158" s="5" t="s">
        <v>26</v>
      </c>
      <c r="B158">
        <v>-470852</v>
      </c>
    </row>
    <row r="159" spans="1:2" x14ac:dyDescent="0.3">
      <c r="A159" s="5" t="s">
        <v>27</v>
      </c>
      <c r="B159">
        <v>-168164</v>
      </c>
    </row>
    <row r="160" spans="1:2" x14ac:dyDescent="0.3">
      <c r="A160" s="5" t="s">
        <v>28</v>
      </c>
      <c r="B160">
        <v>-397216</v>
      </c>
    </row>
    <row r="161" spans="1:2" x14ac:dyDescent="0.3">
      <c r="A161" s="5" t="s">
        <v>29</v>
      </c>
      <c r="B161">
        <v>56427</v>
      </c>
    </row>
    <row r="162" spans="1:2" x14ac:dyDescent="0.3">
      <c r="A162" s="5" t="s">
        <v>30</v>
      </c>
      <c r="B162">
        <v>-136456</v>
      </c>
    </row>
    <row r="163" spans="1:2" x14ac:dyDescent="0.3">
      <c r="A163" s="5" t="s">
        <v>31</v>
      </c>
      <c r="B163">
        <v>49344</v>
      </c>
    </row>
    <row r="164" spans="1:2" x14ac:dyDescent="0.3">
      <c r="A164" s="5" t="s">
        <v>32</v>
      </c>
      <c r="B164">
        <v>219960</v>
      </c>
    </row>
    <row r="165" spans="1:2" x14ac:dyDescent="0.3">
      <c r="A165" s="5" t="s">
        <v>33</v>
      </c>
      <c r="B165">
        <v>126557</v>
      </c>
    </row>
    <row r="166" spans="1:2" x14ac:dyDescent="0.3">
      <c r="A166" s="4" t="s">
        <v>44</v>
      </c>
      <c r="B166">
        <v>-7116291</v>
      </c>
    </row>
    <row r="169" spans="1:2" x14ac:dyDescent="0.3">
      <c r="A169" s="3" t="s">
        <v>43</v>
      </c>
      <c r="B169" t="s">
        <v>47</v>
      </c>
    </row>
    <row r="170" spans="1:2" x14ac:dyDescent="0.3">
      <c r="A170" s="4">
        <v>2013</v>
      </c>
      <c r="B170">
        <v>-5</v>
      </c>
    </row>
    <row r="171" spans="1:2" x14ac:dyDescent="0.3">
      <c r="A171" s="5" t="s">
        <v>15</v>
      </c>
      <c r="B171">
        <v>-5</v>
      </c>
    </row>
    <row r="172" spans="1:2" x14ac:dyDescent="0.3">
      <c r="A172" s="4">
        <v>2014</v>
      </c>
      <c r="B172">
        <v>-327</v>
      </c>
    </row>
    <row r="173" spans="1:2" x14ac:dyDescent="0.3">
      <c r="A173" s="5" t="s">
        <v>18</v>
      </c>
      <c r="B173">
        <v>32</v>
      </c>
    </row>
    <row r="174" spans="1:2" x14ac:dyDescent="0.3">
      <c r="A174" s="5" t="s">
        <v>24</v>
      </c>
      <c r="B174">
        <v>-42</v>
      </c>
    </row>
    <row r="175" spans="1:2" x14ac:dyDescent="0.3">
      <c r="A175" s="5" t="s">
        <v>25</v>
      </c>
      <c r="B175">
        <v>-11</v>
      </c>
    </row>
    <row r="176" spans="1:2" x14ac:dyDescent="0.3">
      <c r="A176" s="5" t="s">
        <v>26</v>
      </c>
      <c r="B176">
        <v>-4</v>
      </c>
    </row>
    <row r="177" spans="1:2" x14ac:dyDescent="0.3">
      <c r="A177" s="5" t="s">
        <v>27</v>
      </c>
      <c r="B177">
        <v>-102</v>
      </c>
    </row>
    <row r="178" spans="1:2" x14ac:dyDescent="0.3">
      <c r="A178" s="5" t="s">
        <v>28</v>
      </c>
      <c r="B178">
        <v>-54</v>
      </c>
    </row>
    <row r="179" spans="1:2" x14ac:dyDescent="0.3">
      <c r="A179" s="5" t="s">
        <v>29</v>
      </c>
      <c r="B179">
        <v>16</v>
      </c>
    </row>
    <row r="180" spans="1:2" x14ac:dyDescent="0.3">
      <c r="A180" s="5" t="s">
        <v>30</v>
      </c>
      <c r="B180">
        <v>-134</v>
      </c>
    </row>
    <row r="181" spans="1:2" x14ac:dyDescent="0.3">
      <c r="A181" s="5" t="s">
        <v>31</v>
      </c>
      <c r="B181">
        <v>-115</v>
      </c>
    </row>
    <row r="182" spans="1:2" x14ac:dyDescent="0.3">
      <c r="A182" s="5" t="s">
        <v>32</v>
      </c>
      <c r="B182">
        <v>43</v>
      </c>
    </row>
    <row r="183" spans="1:2" x14ac:dyDescent="0.3">
      <c r="A183" s="5" t="s">
        <v>33</v>
      </c>
      <c r="B183">
        <v>179</v>
      </c>
    </row>
    <row r="184" spans="1:2" x14ac:dyDescent="0.3">
      <c r="A184" s="5" t="s">
        <v>15</v>
      </c>
      <c r="B184">
        <v>-135</v>
      </c>
    </row>
    <row r="185" spans="1:2" x14ac:dyDescent="0.3">
      <c r="A185" s="4">
        <v>2015</v>
      </c>
      <c r="B185">
        <v>-1448</v>
      </c>
    </row>
    <row r="186" spans="1:2" x14ac:dyDescent="0.3">
      <c r="A186" s="5" t="s">
        <v>18</v>
      </c>
      <c r="B186">
        <v>-102</v>
      </c>
    </row>
    <row r="187" spans="1:2" x14ac:dyDescent="0.3">
      <c r="A187" s="5" t="s">
        <v>24</v>
      </c>
      <c r="B187">
        <v>-118</v>
      </c>
    </row>
    <row r="188" spans="1:2" x14ac:dyDescent="0.3">
      <c r="A188" s="5" t="s">
        <v>25</v>
      </c>
      <c r="B188">
        <v>-116</v>
      </c>
    </row>
    <row r="189" spans="1:2" x14ac:dyDescent="0.3">
      <c r="A189" s="5" t="s">
        <v>26</v>
      </c>
      <c r="B189">
        <v>-76</v>
      </c>
    </row>
    <row r="190" spans="1:2" x14ac:dyDescent="0.3">
      <c r="A190" s="5" t="s">
        <v>27</v>
      </c>
      <c r="B190">
        <v>-214</v>
      </c>
    </row>
    <row r="191" spans="1:2" x14ac:dyDescent="0.3">
      <c r="A191" s="5" t="s">
        <v>28</v>
      </c>
      <c r="B191">
        <v>-35</v>
      </c>
    </row>
    <row r="192" spans="1:2" x14ac:dyDescent="0.3">
      <c r="A192" s="5" t="s">
        <v>29</v>
      </c>
      <c r="B192">
        <v>-108</v>
      </c>
    </row>
    <row r="193" spans="1:2" x14ac:dyDescent="0.3">
      <c r="A193" s="5" t="s">
        <v>30</v>
      </c>
      <c r="B193">
        <v>-156</v>
      </c>
    </row>
    <row r="194" spans="1:2" x14ac:dyDescent="0.3">
      <c r="A194" s="5" t="s">
        <v>31</v>
      </c>
      <c r="B194">
        <v>-80</v>
      </c>
    </row>
    <row r="195" spans="1:2" x14ac:dyDescent="0.3">
      <c r="A195" s="5" t="s">
        <v>32</v>
      </c>
      <c r="B195">
        <v>-85</v>
      </c>
    </row>
    <row r="196" spans="1:2" x14ac:dyDescent="0.3">
      <c r="A196" s="5" t="s">
        <v>33</v>
      </c>
      <c r="B196">
        <v>-240</v>
      </c>
    </row>
    <row r="197" spans="1:2" x14ac:dyDescent="0.3">
      <c r="A197" s="5" t="s">
        <v>15</v>
      </c>
      <c r="B197">
        <v>-118</v>
      </c>
    </row>
    <row r="198" spans="1:2" x14ac:dyDescent="0.3">
      <c r="A198" s="4">
        <v>2016</v>
      </c>
      <c r="B198">
        <v>843</v>
      </c>
    </row>
    <row r="199" spans="1:2" x14ac:dyDescent="0.3">
      <c r="A199" s="5" t="s">
        <v>18</v>
      </c>
      <c r="B199">
        <v>-45</v>
      </c>
    </row>
    <row r="200" spans="1:2" x14ac:dyDescent="0.3">
      <c r="A200" s="5" t="s">
        <v>24</v>
      </c>
      <c r="B200">
        <v>105</v>
      </c>
    </row>
    <row r="201" spans="1:2" x14ac:dyDescent="0.3">
      <c r="A201" s="5" t="s">
        <v>25</v>
      </c>
      <c r="B201">
        <v>69</v>
      </c>
    </row>
    <row r="202" spans="1:2" x14ac:dyDescent="0.3">
      <c r="A202" s="5" t="s">
        <v>26</v>
      </c>
      <c r="B202">
        <v>-190</v>
      </c>
    </row>
    <row r="203" spans="1:2" x14ac:dyDescent="0.3">
      <c r="A203" s="5" t="s">
        <v>27</v>
      </c>
      <c r="B203">
        <v>92</v>
      </c>
    </row>
    <row r="204" spans="1:2" x14ac:dyDescent="0.3">
      <c r="A204" s="5" t="s">
        <v>28</v>
      </c>
      <c r="B204">
        <v>-136</v>
      </c>
    </row>
    <row r="205" spans="1:2" x14ac:dyDescent="0.3">
      <c r="A205" s="5" t="s">
        <v>29</v>
      </c>
      <c r="B205">
        <v>302</v>
      </c>
    </row>
    <row r="206" spans="1:2" x14ac:dyDescent="0.3">
      <c r="A206" s="5" t="s">
        <v>30</v>
      </c>
      <c r="B206">
        <v>28</v>
      </c>
    </row>
    <row r="207" spans="1:2" x14ac:dyDescent="0.3">
      <c r="A207" s="5" t="s">
        <v>31</v>
      </c>
      <c r="B207">
        <v>197</v>
      </c>
    </row>
    <row r="208" spans="1:2" x14ac:dyDescent="0.3">
      <c r="A208" s="5" t="s">
        <v>32</v>
      </c>
      <c r="B208">
        <v>309</v>
      </c>
    </row>
    <row r="209" spans="1:5" x14ac:dyDescent="0.3">
      <c r="A209" s="5" t="s">
        <v>33</v>
      </c>
      <c r="B209">
        <v>112</v>
      </c>
    </row>
    <row r="210" spans="1:5" x14ac:dyDescent="0.3">
      <c r="A210" s="4" t="s">
        <v>44</v>
      </c>
      <c r="B210">
        <v>-937</v>
      </c>
    </row>
    <row r="214" spans="1:5" ht="31.2" x14ac:dyDescent="0.3">
      <c r="A214" s="9" t="s">
        <v>50</v>
      </c>
      <c r="B214" s="11" t="s">
        <v>67</v>
      </c>
      <c r="C214" s="11" t="s">
        <v>66</v>
      </c>
    </row>
    <row r="215" spans="1:5" x14ac:dyDescent="0.3">
      <c r="A215" s="16" t="s">
        <v>68</v>
      </c>
      <c r="B215" s="10">
        <v>171274</v>
      </c>
      <c r="C215" s="10">
        <v>294374</v>
      </c>
      <c r="E215" t="e" cm="1">
        <f t="array" ref="E215">is number</f>
        <v>#NAME?</v>
      </c>
    </row>
    <row r="216" spans="1:5" x14ac:dyDescent="0.3">
      <c r="A216" s="16" t="s">
        <v>69</v>
      </c>
      <c r="B216" s="10">
        <v>302620</v>
      </c>
      <c r="C216" s="10">
        <v>407480</v>
      </c>
    </row>
    <row r="217" spans="1:5" x14ac:dyDescent="0.3">
      <c r="A217" s="16" t="s">
        <v>70</v>
      </c>
      <c r="B217" s="10">
        <v>107529</v>
      </c>
      <c r="C217" s="10">
        <v>220422</v>
      </c>
    </row>
    <row r="220" spans="1:5" x14ac:dyDescent="0.3">
      <c r="B220" s="10"/>
    </row>
    <row r="221" spans="1:5" x14ac:dyDescent="0.3">
      <c r="A221" s="12"/>
      <c r="B221" s="10"/>
    </row>
    <row r="222" spans="1:5" x14ac:dyDescent="0.3">
      <c r="A222" s="15"/>
      <c r="B222" s="10"/>
    </row>
    <row r="223" spans="1:5" x14ac:dyDescent="0.3">
      <c r="A223" s="15"/>
      <c r="B223" s="10"/>
    </row>
    <row r="224" spans="1:5" x14ac:dyDescent="0.3">
      <c r="A224" t="s">
        <v>50</v>
      </c>
      <c r="B224" t="s">
        <v>67</v>
      </c>
      <c r="C224" t="s">
        <v>66</v>
      </c>
    </row>
    <row r="225" spans="1:3" x14ac:dyDescent="0.3">
      <c r="A225" s="16" t="s">
        <v>68</v>
      </c>
      <c r="B225">
        <v>5216.3500000000004</v>
      </c>
      <c r="C225">
        <v>9213.5</v>
      </c>
    </row>
    <row r="226" spans="1:3" x14ac:dyDescent="0.3">
      <c r="A226" s="16" t="s">
        <v>69</v>
      </c>
      <c r="B226">
        <v>9254.84</v>
      </c>
      <c r="C226">
        <v>13200.17</v>
      </c>
    </row>
    <row r="227" spans="1:3" x14ac:dyDescent="0.3">
      <c r="A227" s="16" t="s">
        <v>70</v>
      </c>
      <c r="B227">
        <v>2558.44</v>
      </c>
      <c r="C227">
        <v>5833.29</v>
      </c>
    </row>
  </sheetData>
  <pageMargins left="0.7" right="0.7" top="0.75" bottom="0.75" header="0.3" footer="0.3"/>
  <pageSetup paperSize="9" orientation="portrait" r:id="rId15"/>
  <drawing r:id="rId16"/>
  <extLst>
    <ext xmlns:x14="http://schemas.microsoft.com/office/spreadsheetml/2009/9/main" uri="{A8765BA9-456A-4dab-B4F3-ACF838C121DE}">
      <x14:slicerList>
        <x14:slicer r:id="rId1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1FF1F-5940-4F2C-87E0-A717CA867B63}">
  <sheetPr>
    <pageSetUpPr fitToPage="1"/>
  </sheetPr>
  <dimension ref="A1"/>
  <sheetViews>
    <sheetView showGridLines="0" zoomScale="80" zoomScaleNormal="80" workbookViewId="0">
      <selection activeCell="AB19" sqref="AB19"/>
    </sheetView>
  </sheetViews>
  <sheetFormatPr defaultRowHeight="15.6" x14ac:dyDescent="0.3"/>
  <sheetData/>
  <pageMargins left="0.25" right="0.25" top="0.75" bottom="0.75" header="0.3" footer="0.3"/>
  <pageSetup paperSize="8" scale="85" orientation="landscape"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3953D-6134-4A4C-812D-779E892FE742}">
  <sheetPr>
    <pageSetUpPr fitToPage="1"/>
  </sheetPr>
  <dimension ref="A1"/>
  <sheetViews>
    <sheetView showGridLines="0" tabSelected="1" zoomScale="80" zoomScaleNormal="80" workbookViewId="0">
      <selection activeCell="AB9" sqref="AB9"/>
    </sheetView>
  </sheetViews>
  <sheetFormatPr defaultRowHeight="15.6" x14ac:dyDescent="0.3"/>
  <sheetData/>
  <pageMargins left="0.25" right="0.25" top="0.75" bottom="0.75" header="0.3" footer="0.3"/>
  <pageSetup paperSize="8" scale="85"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Clean Dataset</vt:lpstr>
      <vt:lpstr>PivotTables &amp; Charts</vt:lpstr>
      <vt:lpstr>Sales Performance</vt:lpstr>
      <vt:lpstr>Profitablity &amp; Promotions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Lisoletu Digala</dc:creator>
  <cp:lastModifiedBy>Lisoletu Digala</cp:lastModifiedBy>
  <cp:lastPrinted>2026-09-28T21:24:22Z</cp:lastPrinted>
  <dcterms:modified xsi:type="dcterms:W3CDTF">2026-09-29T08:20:41Z</dcterms:modified>
</cp:coreProperties>
</file>